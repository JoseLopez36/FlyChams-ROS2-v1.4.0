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<sst xmlns="http://schemas.openxmlformats.org/spreadsheetml/2006/main" count="449" uniqueCount="265">
  <si>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</si>
  <si>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</si>
  <si>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</si>
  <si>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</si>
  <si>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</si>
  <si>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</si>
  <si>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</si>
  <si>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AgentTeamID</t>
  </si>
  <si>
    <t xml:space="preserve">Autopilot</t>
  </si>
  <si>
    <t xml:space="preserve">AltitudeConstraint [m]</t>
  </si>
  <si>
    <t xml:space="preserve">TrackingSceneResolution [pix]</t>
  </si>
  <si>
    <t xml:space="preserve">TrackingViewResolution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</si>
  <si>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</si>
  <si>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</si>
  <si>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</si>
  <si>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</si>
  <si>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</si>
  <si>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TEAM00</t>
  </si>
  <si>
    <t xml:space="preserve">SimpleFlight</t>
  </si>
  <si>
    <t xml:space="preserve">(20.0, 250.0)</t>
  </si>
  <si>
    <t xml:space="preserve">(1280x720)</t>
  </si>
  <si>
    <t xml:space="preserve">(640x360)</t>
  </si>
  <si>
    <t xml:space="preserve">MISSION01</t>
  </si>
  <si>
    <t xml:space="preserve">Single-Agent Multi-Camera Wreck Rescue</t>
  </si>
  <si>
    <t xml:space="preserve">MAP01</t>
  </si>
  <si>
    <t xml:space="preserve">BUNDLE01</t>
  </si>
  <si>
    <t xml:space="preserve">TEAM01</t>
  </si>
  <si>
    <t xml:space="preserve">(35.0, 280.0)</t>
  </si>
  <si>
    <t xml:space="preserve">MISSION02</t>
  </si>
  <si>
    <t xml:space="preserve">Single-Agent Multi-Window Wreck Rescue</t>
  </si>
  <si>
    <t xml:space="preserve">SIM02</t>
  </si>
  <si>
    <t xml:space="preserve">TEAM02</t>
  </si>
  <si>
    <t xml:space="preserve">X</t>
  </si>
  <si>
    <t xml:space="preserve">MISSION03</t>
  </si>
  <si>
    <t xml:space="preserve">Multi-Window Demo</t>
  </si>
  <si>
    <t xml:space="preserve">SIM03</t>
  </si>
  <si>
    <t xml:space="preserve">BUNDLE02</t>
  </si>
  <si>
    <t xml:space="preserve">PX4</t>
  </si>
  <si>
    <t xml:space="preserve">(30.0, 150.0)</t>
  </si>
  <si>
    <t xml:space="preserve">SimulationName</t>
  </si>
  <si>
    <t xml:space="preserve">ClockSpeed</t>
  </si>
  <si>
    <t xml:space="preserve">ScenarioViewPosition [m]</t>
  </si>
  <si>
    <t xml:space="preserve">ScenarioViewOrientation [°]</t>
  </si>
  <si>
    <t xml:space="preserve">RecordMetrics</t>
  </si>
  <si>
    <t xml:space="preserve">DrawRvizMarkers</t>
  </si>
  <si>
    <t xml:space="preserve">DrawWorldMarkers</t>
  </si>
  <si>
    <t xml:space="preserve">EnableLumen</t>
  </si>
  <si>
    <t xml:space="preserve">Slow Simple</t>
  </si>
  <si>
    <t xml:space="preserve">(X=-150.0, Y=-150.0, Z=150.0)</t>
  </si>
  <si>
    <t xml:space="preserve">(Pitch=15.0, Yaw=45.0, Roll=0.0)</t>
  </si>
  <si>
    <t xml:space="preserve">SIM01</t>
  </si>
  <si>
    <t xml:space="preserve">Regular Simple</t>
  </si>
  <si>
    <t xml:space="preserve">Regular PX4</t>
  </si>
  <si>
    <t xml:space="preserve">(X=-250.0, Y=-250.0, Z=150.0)</t>
  </si>
  <si>
    <t xml:space="preserve"> 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</si>
  <si>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</si>
  <si>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</si>
  <si>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</si>
  <si>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</si>
  <si>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</si>
  <si>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</si>
  <si>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Test Level</t>
  </si>
  <si>
    <t xml:space="preserve">Test</t>
  </si>
  <si>
    <t xml:space="preserve">(lat=35.9865559, lon=-5.8930106, alt=8.54)</t>
  </si>
  <si>
    <t xml:space="preserve">(13/12/2024)</t>
  </si>
  <si>
    <t xml:space="preserve">(17:00:00)</t>
  </si>
  <si>
    <t xml:space="preserve">(Vx=5.0, Vy=3.5, Vz=0.8)</t>
  </si>
  <si>
    <t xml:space="preserve">Coastal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</si>
  <si>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</si>
  <si>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</si>
  <si>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</si>
  <si>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</si>
  <si>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</si>
  <si>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</si>
  <si>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</si>
  <si>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</si>
  <si>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</si>
  <si>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</si>
  <si>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HighSpeed16</t>
  </si>
  <si>
    <t xml:space="preserve">GROUP01</t>
  </si>
  <si>
    <t xml:space="preserve">Slow Human Targets</t>
  </si>
  <si>
    <t xml:space="preserve">High</t>
  </si>
  <si>
    <t xml:space="preserve">LowSpeed16</t>
  </si>
  <si>
    <t xml:space="preserve">GROUP02</t>
  </si>
  <si>
    <t xml:space="preserve">MetaHuman</t>
  </si>
  <si>
    <t xml:space="preserve">VeyLowSpeedHighDispersion16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</si>
  <si>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</si>
  <si>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</si>
  <si>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</si>
  <si>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</si>
  <si>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</si>
  <si>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</si>
  <si>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</si>
  <si>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</si>
  <si>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</si>
  <si>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</si>
  <si>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</si>
  <si>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</si>
  <si>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</si>
  <si>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</si>
  <si>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</si>
  <si>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</si>
  <si>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</si>
  <si>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</si>
  <si>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</si>
  <si>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</si>
  <si>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</si>
  <si>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</si>
  <si>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</si>
  <si>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</si>
  <si>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</si>
  <si>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</si>
  <si>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</si>
  <si>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</si>
  <si>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</si>
  <si>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</si>
  <si>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</si>
  <si>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</si>
  <si>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</si>
  <si>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</si>
  <si>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</si>
  <si>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</si>
  <si>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</si>
  <si>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PAYLOAD05</t>
  </si>
  <si>
    <t xml:space="preserve">DRONE01</t>
  </si>
  <si>
    <t xml:space="preserve">(X=0.0, Y=0.0, Z=0.0)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</si>
  <si>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</si>
  <si>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</si>
  <si>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</si>
  <si>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</si>
  <si>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</si>
  <si>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</si>
  <si>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</si>
  <si>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</si>
  <si>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</si>
  <si>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</si>
  <si>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</si>
  <si>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Agent 1.1 Central Cam</t>
  </si>
  <si>
    <t xml:space="preserve">GIM00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</si>
  <si>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</si>
  <si>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</si>
  <si>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</si>
  <si>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</si>
  <si>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</si>
  <si>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</si>
  <si>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</si>
  <si>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</si>
  <si>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</si>
  <si>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</si>
  <si>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</si>
  <si>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</si>
  <si>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</si>
  <si>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</si>
  <si>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</si>
  <si>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</si>
  <si>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</si>
  <si>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</si>
  <si>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</si>
  <si>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</si>
  <si>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</si>
  <si>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</si>
  <si>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</si>
  <si>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</si>
  <si>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</si>
  <si>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</si>
  <si>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</si>
  <si>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</si>
  <si>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</si>
  <si>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</si>
  <si>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</si>
  <si>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</si>
  <si>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</si>
  <si>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</si>
  <si>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</si>
  <si>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</si>
  <si>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</si>
  <si>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</si>
  <si>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</si>
  <si>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</si>
  <si>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</si>
  <si>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</si>
  <si>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CAM07</t>
  </si>
  <si>
    <t xml:space="preserve">(X=0.0, Y=0.0, Z=-0.05)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</si>
  <si>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</si>
  <si>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</si>
  <si>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</si>
  <si>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</si>
  <si>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</si>
  <si>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</si>
  <si>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</si>
  <si>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</si>
  <si>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</si>
  <si>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</si>
  <si>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</si>
  <si>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</si>
  <si>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</si>
  <si>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</si>
  <si>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</si>
  <si>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</si>
  <si>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</si>
  <si>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</si>
  <si>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</si>
  <si>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</si>
  <si>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(PressureSigma=0.0001825, NoiseSigma=3.0)</t>
  </si>
  <si>
    <t xml:space="preserve">(GyroNoise=0.4, AccelNoise=0.2)</t>
  </si>
  <si>
    <t xml:space="preserve">(EphIni=30, EpvIni=40, EphFin=1, EpvFin=2)</t>
  </si>
  <si>
    <t xml:space="preserve">(NoiseSigma=0.03, ScaleFactor=1.02, NoiseBias=0.05)</t>
  </si>
  <si>
    <t xml:space="preserve">DJI S900</t>
  </si>
  <si>
    <t xml:space="preserve">Hexacopter</t>
  </si>
  <si>
    <t xml:space="preserve">GimbalName</t>
  </si>
  <si>
    <t xml:space="preserve">LinkConfigurationID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</si>
  <si>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</si>
  <si>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</si>
  <si>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</si>
  <si>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</si>
  <si>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</si>
  <si>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Default Tracking Gimbal</t>
  </si>
  <si>
    <t xml:space="preserve">LINKCONFIG01</t>
  </si>
  <si>
    <t xml:space="preserve">GimbalLinkID</t>
  </si>
  <si>
    <t xml:space="preserve">AxisType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</si>
  <si>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</si>
  <si>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</si>
  <si>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</si>
  <si>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</si>
  <si>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</si>
  <si>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Roll</t>
  </si>
  <si>
    <t xml:space="preserve">(-20.0, 20.0)</t>
  </si>
  <si>
    <t xml:space="preserve">LINK01</t>
  </si>
  <si>
    <t xml:space="preserve">Pitch</t>
  </si>
  <si>
    <t xml:space="preserve">(-40.0, 130.0)</t>
  </si>
  <si>
    <t xml:space="preserve">LINK02</t>
  </si>
  <si>
    <t xml:space="preserve">Yaw</t>
  </si>
  <si>
    <t xml:space="preserve">(-320.0, 320.0)</t>
  </si>
  <si>
    <t xml:space="preserve">LINK03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</si>
  <si>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</si>
  <si>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</si>
  <si>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</si>
  <si>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</si>
  <si>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</si>
  <si>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</si>
  <si>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</si>
  <si>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EnableLensDistortion</t>
  </si>
  <si>
    <t xml:space="preserve">LensDistortion</t>
  </si>
  <si>
    <t xml:space="preserve">EnableSensorNoise</t>
  </si>
  <si>
    <t xml:space="preserve">SensorNoise</t>
  </si>
  <si>
    <t xml:space="preserve">Raspberry Pi Camera HQ Lens 2.8 12mm</t>
  </si>
  <si>
    <t xml:space="preserve">RGB</t>
  </si>
  <si>
    <t xml:space="preserve">(2560x1440)</t>
  </si>
  <si>
    <t xml:space="preserve">(Strength=0.02, Radius=1.8, Falloff=0.15)</t>
  </si>
  <si>
    <t xml:space="preserve">(RandContrib=0.008, RandSize=500, RandSpeed=50000)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</si>
  <si>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</si>
  <si>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</si>
  <si>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</si>
  <si>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</si>
  <si>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</si>
  <si>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</si>
  <si>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</si>
  <si>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</si>
  <si>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</si>
  <si>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</si>
  <si>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</si>
  <si>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CAM06</t>
  </si>
  <si>
    <t xml:space="preserve">Mavic 2 Zoom</t>
  </si>
  <si>
    <t xml:space="preserve">Infrared</t>
  </si>
  <si>
    <t xml:space="preserve">(7680x4320)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</si>
</sst>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2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7" headerRowCount="1" totalsRowCount="0" totalsRowShown="0">
  <autoFilter ref="A2:K7"/>
  <tableColumns count="11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J15" headerRowCount="1" totalsRowCount="0" totalsRowShown="0">
  <autoFilter ref="A2:J15"/>
  <tableColumns count="10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9" displayName="Table29" ref="A2:N9" headerRowCount="1" totalsRowCount="0" totalsRowShown="0">
  <autoFilter ref="A2:N9"/>
  <tableColumns count="14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EnableLensDistortion"/>
    <tableColumn id="9" name="LensDistortion"/>
    <tableColumn id="10" name="EnableSensorNoise"/>
    <tableColumn id="11" name="SensorNoise"/>
    <tableColumn id="12" name="Weight [kg]"/>
    <tableColumn id="13" name="IdlePower [W]"/>
    <tableColumn id="14" name="ActivePower [W]"/>
  </tableColumns>
</table>
</file>

<file path=xl/tables/table4.xml><?xml version="1.0" encoding="utf-8"?>
<table xmlns="http://schemas.openxmlformats.org/spreadsheetml/2006/main" id="4" name="Table2911" displayName="Table2911" ref="A2:F4" headerRowCount="1" totalsRowCount="0" totalsRowShown="0">
  <autoFilter ref="A2:F4"/>
  <tableColumns count="6">
    <tableColumn id="1" name="GimbalModelID"/>
    <tableColumn id="2" name="GimbalName"/>
    <tableColumn id="3" name="LinkConfigurationID"/>
    <tableColumn id="4" name="Weight [kg]"/>
    <tableColumn id="5" name="IdlePower [W]"/>
    <tableColumn id="6" name="ActivePower [W]"/>
  </tableColumns>
</table>
</file>

<file path=xl/tables/table5.xml><?xml version="1.0" encoding="utf-8"?>
<table xmlns="http://schemas.openxmlformats.org/spreadsheetml/2006/main" id="5" name="Table291112" displayName="Table291112" ref="A2:G7" headerRowCount="1" totalsRowCount="0" totalsRowShown="0">
  <autoFilter ref="A2:G7"/>
  <tableColumns count="7">
    <tableColumn id="1" name="GimbalLinkID"/>
    <tableColumn id="2" name="LinkConfigurationID"/>
    <tableColumn id="3" name="AxisType"/>
    <tableColumn id="4" name="JointRange [°]"/>
    <tableColumn id="5" name="MaxAngularSpeed [°/s]"/>
    <tableColumn id="6" name="MotorRiseTime [s]"/>
    <tableColumn id="7" name="MotorDampingFactor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DroneModelID"/>
    <tableColumn id="2" name="DroneName"/>
    <tableColumn id="3" name="Drone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G5" headerRowCount="1" totalsRowCount="0" totalsRowShown="0">
  <autoFilter ref="A2:G5"/>
  <tableColumns count="7">
    <tableColumn id="1" name="SimulationID"/>
    <tableColumn id="2" name="SimulationName"/>
    <tableColumn id="3" name="ClockSpeed"/>
    <tableColumn id="4" name="ScenarioViewPosition [m]"/>
    <tableColumn id="5" name="ScenarioViewOrientation [°]"/>
    <tableColumn id="6" name="RecordMetrics"/>
    <tableColumn id="7" name="DrawRvizMarkers"/>
  </tableColumns>
</table>
</file>

<file path=xl/tables/table10.xml><?xml version="1.0" encoding="utf-8"?>
<table xmlns="http://schemas.openxmlformats.org/spreadsheetml/2006/main" id="10" name="Table72" displayName="Table72" ref="A2:I4" headerRowCount="1" totalsRowCount="0" totalsRowShown="0">
  <autoFilter ref="A2:I4"/>
  <tableColumns count="9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AgentTeamID"/>
    <tableColumn id="8" name="Autopilot"/>
    <tableColumn id="9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15" activeCellId="0" sqref="G15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7" min="4" style="2" width="26.44"/>
    <col collapsed="false" customWidth="true" hidden="false" outlineLevel="0" max="9" min="8" style="2" width="26.66"/>
    <col collapsed="false" customWidth="true" hidden="false" outlineLevel="0" max="11" min="10" style="2" width="37.3"/>
    <col collapsed="false" customWidth="false" hidden="false" outlineLevel="0" max="16383" min="12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8" customFormat="true" ht="40.5" hidden="false" customHeight="tru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7" t="s">
        <v>11</v>
      </c>
      <c r="XFD2" s="3"/>
    </row>
    <row r="3" customFormat="false" ht="28.5" hidden="false" customHeight="true" outlineLevel="0" collapsed="false">
      <c r="A3" s="9"/>
      <c r="B3" s="10" t="s">
        <v>12</v>
      </c>
      <c r="C3" s="10" t="s">
        <v>13</v>
      </c>
      <c r="D3" s="10" t="s">
        <v>14</v>
      </c>
      <c r="E3" s="10" t="s">
        <v>15</v>
      </c>
      <c r="F3" s="10" t="s">
        <v>16</v>
      </c>
      <c r="G3" s="11" t="s">
        <v>17</v>
      </c>
      <c r="H3" s="11" t="s">
        <v>18</v>
      </c>
      <c r="I3" s="11" t="s">
        <v>19</v>
      </c>
      <c r="J3" s="11" t="s">
        <v>20</v>
      </c>
      <c r="K3" s="11" t="s">
        <v>21</v>
      </c>
    </row>
    <row r="4" customFormat="false" ht="27" hidden="false" customHeight="true" outlineLevel="0" collapsed="false">
      <c r="A4" s="9"/>
      <c r="B4" s="10" t="s">
        <v>22</v>
      </c>
      <c r="C4" s="12" t="s">
        <v>23</v>
      </c>
      <c r="D4" s="10" t="s">
        <v>14</v>
      </c>
      <c r="E4" s="12" t="s">
        <v>24</v>
      </c>
      <c r="F4" s="10" t="s">
        <v>25</v>
      </c>
      <c r="G4" s="11" t="s">
        <v>26</v>
      </c>
      <c r="H4" s="11" t="s">
        <v>18</v>
      </c>
      <c r="I4" s="11" t="s">
        <v>27</v>
      </c>
      <c r="J4" s="11" t="s">
        <v>20</v>
      </c>
      <c r="K4" s="11" t="s">
        <v>21</v>
      </c>
    </row>
    <row r="5" s="3" customFormat="true" ht="27" hidden="false" customHeight="true" outlineLevel="0" collapsed="false">
      <c r="A5" s="9"/>
      <c r="B5" s="10" t="s">
        <v>28</v>
      </c>
      <c r="C5" s="12" t="s">
        <v>29</v>
      </c>
      <c r="D5" s="10" t="s">
        <v>30</v>
      </c>
      <c r="E5" s="12" t="s">
        <v>24</v>
      </c>
      <c r="F5" s="10" t="s">
        <v>25</v>
      </c>
      <c r="G5" s="11" t="s">
        <v>31</v>
      </c>
      <c r="H5" s="11" t="s">
        <v>18</v>
      </c>
      <c r="I5" s="11" t="s">
        <v>27</v>
      </c>
      <c r="J5" s="11" t="s">
        <v>20</v>
      </c>
      <c r="K5" s="11" t="s">
        <v>21</v>
      </c>
    </row>
    <row r="6" s="3" customFormat="true" ht="27" hidden="false" customHeight="true" outlineLevel="0" collapsed="false">
      <c r="A6" s="9" t="s">
        <v>32</v>
      </c>
      <c r="B6" s="10" t="s">
        <v>33</v>
      </c>
      <c r="C6" s="12" t="s">
        <v>34</v>
      </c>
      <c r="D6" s="10" t="s">
        <v>35</v>
      </c>
      <c r="E6" s="12" t="s">
        <v>24</v>
      </c>
      <c r="F6" s="10" t="s">
        <v>36</v>
      </c>
      <c r="G6" s="11" t="s">
        <v>31</v>
      </c>
      <c r="H6" s="11" t="s">
        <v>37</v>
      </c>
      <c r="I6" s="11" t="s">
        <v>38</v>
      </c>
      <c r="J6" s="11" t="s">
        <v>20</v>
      </c>
      <c r="K6" s="11" t="s">
        <v>21</v>
      </c>
    </row>
    <row r="7" customFormat="false" ht="22.5" hidden="false" customHeight="true" outlineLevel="0" collapsed="false">
      <c r="I7" s="13"/>
      <c r="J7" s="13"/>
      <c r="K7" s="13"/>
    </row>
    <row r="8" customFormat="false" ht="22.5" hidden="false" customHeight="true" outlineLevel="0" collapsed="false">
      <c r="B8" s="14"/>
      <c r="I8" s="13"/>
      <c r="J8" s="13"/>
      <c r="K8" s="13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6" activeCellId="0" sqref="F6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44"/>
    <col collapsed="false" customWidth="true" hidden="false" outlineLevel="0" max="3" min="3" style="2" width="26.66"/>
    <col collapsed="false" customWidth="true" hidden="false" outlineLevel="0" max="4" min="4" style="2" width="33.66"/>
    <col collapsed="false" customWidth="true" hidden="false" outlineLevel="0" max="5" min="5" style="2" width="33.77"/>
    <col collapsed="false" customWidth="true" hidden="false" outlineLevel="0" max="9" min="6" style="2" width="26.66"/>
    <col collapsed="false" customWidth="false" hidden="false" outlineLevel="0" max="16382" min="10" style="2" width="11"/>
  </cols>
  <sheetData>
    <row r="1" customFormat="fals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  <c r="H1" s="15"/>
      <c r="I1" s="15"/>
    </row>
    <row r="2" s="8" customFormat="true" ht="40.5" hidden="false" customHeight="true" outlineLevel="0" collapsed="false">
      <c r="A2" s="7" t="s">
        <v>4</v>
      </c>
      <c r="B2" s="7" t="s">
        <v>39</v>
      </c>
      <c r="C2" s="7" t="s">
        <v>40</v>
      </c>
      <c r="D2" s="7" t="s">
        <v>41</v>
      </c>
      <c r="E2" s="7" t="s">
        <v>42</v>
      </c>
      <c r="F2" s="7" t="s">
        <v>43</v>
      </c>
      <c r="G2" s="7" t="s">
        <v>44</v>
      </c>
      <c r="H2" s="7" t="s">
        <v>45</v>
      </c>
      <c r="I2" s="7" t="s">
        <v>46</v>
      </c>
      <c r="XFC2" s="3"/>
      <c r="XFD2" s="3"/>
    </row>
    <row r="3" customFormat="false" ht="28.5" hidden="false" customHeight="true" outlineLevel="0" collapsed="false">
      <c r="A3" s="10" t="s">
        <v>14</v>
      </c>
      <c r="B3" s="10" t="s">
        <v>47</v>
      </c>
      <c r="C3" s="10" t="n">
        <v>0.5</v>
      </c>
      <c r="D3" s="10" t="s">
        <v>48</v>
      </c>
      <c r="E3" s="10" t="s">
        <v>49</v>
      </c>
      <c r="F3" s="16" t="b">
        <f aca="false">FALSE()</f>
        <v>0</v>
      </c>
      <c r="G3" s="11" t="b">
        <f aca="false">TRUE()</f>
        <v>1</v>
      </c>
      <c r="H3" s="16" t="b">
        <f aca="false">FALSE()</f>
        <v>0</v>
      </c>
      <c r="I3" s="11" t="b">
        <f aca="false">TRUE()</f>
        <v>1</v>
      </c>
    </row>
    <row r="4" customFormat="false" ht="28.5" hidden="false" customHeight="true" outlineLevel="0" collapsed="false">
      <c r="A4" s="10" t="s">
        <v>50</v>
      </c>
      <c r="B4" s="10" t="s">
        <v>51</v>
      </c>
      <c r="C4" s="10" t="n">
        <v>1</v>
      </c>
      <c r="D4" s="10" t="s">
        <v>48</v>
      </c>
      <c r="E4" s="10" t="s">
        <v>49</v>
      </c>
      <c r="F4" s="16" t="b">
        <f aca="false">FALSE()</f>
        <v>0</v>
      </c>
      <c r="G4" s="16" t="b">
        <f aca="false">FALSE()</f>
        <v>0</v>
      </c>
      <c r="H4" s="16" t="b">
        <f aca="false">FALSE()</f>
        <v>0</v>
      </c>
      <c r="I4" s="11" t="b">
        <f aca="false">TRUE()</f>
        <v>1</v>
      </c>
    </row>
    <row r="5" customFormat="false" ht="28.5" hidden="false" customHeight="true" outlineLevel="0" collapsed="false">
      <c r="A5" s="10" t="s">
        <v>30</v>
      </c>
      <c r="B5" s="10" t="s">
        <v>52</v>
      </c>
      <c r="C5" s="10" t="n">
        <v>1</v>
      </c>
      <c r="D5" s="10" t="s">
        <v>48</v>
      </c>
      <c r="E5" s="10" t="s">
        <v>49</v>
      </c>
      <c r="F5" s="16" t="b">
        <f aca="false">FALSE()</f>
        <v>0</v>
      </c>
      <c r="G5" s="16" t="b">
        <f aca="false">TRUE()</f>
        <v>1</v>
      </c>
      <c r="H5" s="16" t="b">
        <f aca="false">FALSE()</f>
        <v>0</v>
      </c>
      <c r="I5" s="11" t="b">
        <f aca="false">TRUE()</f>
        <v>1</v>
      </c>
    </row>
    <row r="6" s="3" customFormat="true" ht="28.5" hidden="false" customHeight="true" outlineLevel="0" collapsed="false">
      <c r="A6" s="10" t="s">
        <v>35</v>
      </c>
      <c r="B6" s="10" t="s">
        <v>34</v>
      </c>
      <c r="C6" s="10" t="n">
        <v>1</v>
      </c>
      <c r="D6" s="10" t="s">
        <v>53</v>
      </c>
      <c r="E6" s="10" t="s">
        <v>49</v>
      </c>
      <c r="F6" s="16" t="b">
        <f aca="false">FALSE()</f>
        <v>0</v>
      </c>
      <c r="G6" s="16" t="b">
        <f aca="false">TRUE()</f>
        <v>1</v>
      </c>
      <c r="H6" s="11" t="b">
        <f aca="false">TRUE()</f>
        <v>1</v>
      </c>
      <c r="I6" s="11" t="b">
        <f aca="false">TRUE()</f>
        <v>1</v>
      </c>
    </row>
    <row r="7" customFormat="false" ht="22.5" hidden="false" customHeight="true" outlineLevel="0" collapsed="false">
      <c r="C7" s="17"/>
      <c r="D7" s="17"/>
      <c r="E7" s="17"/>
      <c r="F7" s="17"/>
    </row>
    <row r="8" customFormat="false" ht="22.5" hidden="false" customHeight="true" outlineLevel="0" collapsed="false">
      <c r="C8" s="13"/>
      <c r="D8" s="13"/>
      <c r="E8" s="13"/>
      <c r="F8" s="13"/>
    </row>
    <row r="9" customFormat="false" ht="22.5" hidden="false" customHeight="true" outlineLevel="0" collapsed="false">
      <c r="A9" s="14"/>
      <c r="C9" s="13" t="s">
        <v>54</v>
      </c>
      <c r="D9" s="13"/>
      <c r="E9" s="13"/>
      <c r="F9" s="13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4" activeCellId="0" sqref="F4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8" customFormat="tru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</row>
    <row r="2" customFormat="false" ht="40.5" hidden="false" customHeight="true" outlineLevel="0" collapsed="false">
      <c r="A2" s="6" t="s">
        <v>5</v>
      </c>
      <c r="B2" s="6" t="s">
        <v>55</v>
      </c>
      <c r="C2" s="6" t="s">
        <v>56</v>
      </c>
      <c r="D2" s="6" t="s">
        <v>57</v>
      </c>
      <c r="E2" s="6" t="s">
        <v>58</v>
      </c>
      <c r="F2" s="6" t="s">
        <v>59</v>
      </c>
      <c r="G2" s="6" t="s">
        <v>60</v>
      </c>
    </row>
    <row r="3" customFormat="false" ht="28.5" hidden="false" customHeight="true" outlineLevel="0" collapsed="false">
      <c r="A3" s="10" t="s">
        <v>15</v>
      </c>
      <c r="B3" s="10" t="s">
        <v>61</v>
      </c>
      <c r="C3" s="10" t="s">
        <v>62</v>
      </c>
      <c r="D3" s="10" t="s">
        <v>63</v>
      </c>
      <c r="E3" s="10" t="s">
        <v>64</v>
      </c>
      <c r="F3" s="10" t="s">
        <v>65</v>
      </c>
      <c r="G3" s="18" t="s">
        <v>66</v>
      </c>
    </row>
    <row r="4" customFormat="false" ht="28.5" hidden="false" customHeight="true" outlineLevel="0" collapsed="false">
      <c r="A4" s="10" t="s">
        <v>24</v>
      </c>
      <c r="B4" s="10" t="s">
        <v>34</v>
      </c>
      <c r="C4" s="10" t="s">
        <v>67</v>
      </c>
      <c r="D4" s="10" t="s">
        <v>63</v>
      </c>
      <c r="E4" s="10" t="s">
        <v>64</v>
      </c>
      <c r="F4" s="10" t="s">
        <v>65</v>
      </c>
      <c r="G4" s="18" t="s">
        <v>66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9" activeCellId="0" sqref="G9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6.66"/>
    <col collapsed="false" customWidth="true" hidden="false" outlineLevel="0" max="7" min="7" style="2" width="38.7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5" t="s">
        <v>0</v>
      </c>
      <c r="B1" s="15"/>
      <c r="C1" s="15"/>
      <c r="D1" s="15"/>
      <c r="E1" s="15"/>
      <c r="F1" s="15"/>
      <c r="G1" s="15"/>
    </row>
    <row r="2" s="8" customFormat="true" ht="40.5" hidden="false" customHeight="true" outlineLevel="0" collapsed="false">
      <c r="A2" s="6" t="s">
        <v>68</v>
      </c>
      <c r="B2" s="6" t="s">
        <v>6</v>
      </c>
      <c r="C2" s="6" t="s">
        <v>69</v>
      </c>
      <c r="D2" s="6" t="s">
        <v>70</v>
      </c>
      <c r="E2" s="6" t="s">
        <v>71</v>
      </c>
      <c r="F2" s="6" t="s">
        <v>72</v>
      </c>
      <c r="G2" s="6" t="s">
        <v>73</v>
      </c>
    </row>
    <row r="3" customFormat="false" ht="27" hidden="false" customHeight="true" outlineLevel="0" collapsed="false">
      <c r="A3" s="10" t="s">
        <v>74</v>
      </c>
      <c r="B3" s="10" t="s">
        <v>16</v>
      </c>
      <c r="C3" s="10" t="s">
        <v>75</v>
      </c>
      <c r="D3" s="10" t="s">
        <v>76</v>
      </c>
      <c r="E3" s="19" t="n">
        <v>16</v>
      </c>
      <c r="F3" s="10" t="s">
        <v>77</v>
      </c>
      <c r="G3" s="10" t="s">
        <v>78</v>
      </c>
    </row>
    <row r="4" customFormat="false" ht="27" hidden="false" customHeight="true" outlineLevel="0" collapsed="false">
      <c r="A4" s="10" t="s">
        <v>79</v>
      </c>
      <c r="B4" s="10" t="s">
        <v>25</v>
      </c>
      <c r="C4" s="10" t="s">
        <v>80</v>
      </c>
      <c r="D4" s="10" t="s">
        <v>76</v>
      </c>
      <c r="E4" s="19" t="n">
        <v>16</v>
      </c>
      <c r="F4" s="10" t="s">
        <v>81</v>
      </c>
      <c r="G4" s="10" t="s">
        <v>82</v>
      </c>
    </row>
    <row r="5" s="3" customFormat="true" ht="27" hidden="false" customHeight="true" outlineLevel="0" collapsed="false">
      <c r="A5" s="10" t="s">
        <v>83</v>
      </c>
      <c r="B5" s="10" t="s">
        <v>36</v>
      </c>
      <c r="C5" s="10" t="s">
        <v>34</v>
      </c>
      <c r="D5" s="10" t="s">
        <v>84</v>
      </c>
      <c r="E5" s="19" t="n">
        <v>16</v>
      </c>
      <c r="F5" s="10" t="s">
        <v>81</v>
      </c>
      <c r="G5" s="10" t="s">
        <v>85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25"/>
  <sheetViews>
    <sheetView showFormulas="false" showGridLines="true" showRowColHeaders="true" showZeros="true" rightToLeft="false" tabSelected="false" showOutlineSymbols="true" defaultGridColor="true" view="normal" topLeftCell="A2" colorId="64" zoomScale="85" zoomScaleNormal="85" zoomScalePageLayoutView="100" workbookViewId="0">
      <selection pane="topLeft" activeCell="G2" activeCellId="0" sqref="G2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20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2" min="9" style="2" width="26.66"/>
    <col collapsed="false" customWidth="false" hidden="false" outlineLevel="0" max="17" min="13" style="20" width="11"/>
    <col collapsed="false" customWidth="false" hidden="false" outlineLevel="0" max="16380" min="18" style="2" width="11"/>
    <col collapsed="false" customWidth="true" hidden="false" outlineLevel="0" max="16384" min="16381" style="2" width="10.49"/>
  </cols>
  <sheetData>
    <row r="1" customFormat="false" ht="54" hidden="false" customHeight="true" outlineLevel="0" collapsed="false">
      <c r="A1" s="21" t="s">
        <v>86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8" customFormat="true" ht="40.5" hidden="false" customHeight="true" outlineLevel="0" collapsed="false">
      <c r="A2" s="22" t="s">
        <v>87</v>
      </c>
      <c r="B2" s="22" t="s">
        <v>7</v>
      </c>
      <c r="C2" s="22" t="s">
        <v>88</v>
      </c>
      <c r="D2" s="22" t="s">
        <v>89</v>
      </c>
      <c r="E2" s="22" t="s">
        <v>90</v>
      </c>
      <c r="F2" s="22" t="s">
        <v>91</v>
      </c>
      <c r="G2" s="22" t="s">
        <v>92</v>
      </c>
      <c r="H2" s="22" t="s">
        <v>93</v>
      </c>
      <c r="I2" s="22" t="s">
        <v>94</v>
      </c>
      <c r="J2" s="22" t="s">
        <v>95</v>
      </c>
      <c r="K2" s="22" t="s">
        <v>96</v>
      </c>
      <c r="M2" s="20"/>
      <c r="N2" s="20"/>
      <c r="O2" s="20"/>
      <c r="P2" s="20"/>
      <c r="Q2" s="20"/>
    </row>
    <row r="3" customFormat="false" ht="27" hidden="false" customHeight="true" outlineLevel="0" collapsed="false">
      <c r="A3" s="23" t="s">
        <v>97</v>
      </c>
      <c r="B3" s="23" t="s">
        <v>17</v>
      </c>
      <c r="C3" s="23" t="s">
        <v>98</v>
      </c>
      <c r="D3" s="23" t="s">
        <v>99</v>
      </c>
      <c r="E3" s="23" t="s">
        <v>100</v>
      </c>
      <c r="F3" s="23" t="s">
        <v>101</v>
      </c>
      <c r="G3" s="23" t="s">
        <v>102</v>
      </c>
      <c r="H3" s="23" t="s">
        <v>103</v>
      </c>
      <c r="I3" s="23" t="n">
        <v>4</v>
      </c>
      <c r="J3" s="23" t="n">
        <v>250</v>
      </c>
      <c r="K3" s="23" t="n">
        <v>10000</v>
      </c>
    </row>
    <row r="4" customFormat="false" ht="27" hidden="false" customHeight="true" outlineLevel="0" collapsed="false">
      <c r="A4" s="23" t="s">
        <v>104</v>
      </c>
      <c r="B4" s="23" t="s">
        <v>17</v>
      </c>
      <c r="C4" s="23" t="s">
        <v>105</v>
      </c>
      <c r="D4" s="23" t="s">
        <v>106</v>
      </c>
      <c r="E4" s="23" t="s">
        <v>100</v>
      </c>
      <c r="F4" s="23" t="s">
        <v>101</v>
      </c>
      <c r="G4" s="23" t="s">
        <v>107</v>
      </c>
      <c r="H4" s="23" t="s">
        <v>103</v>
      </c>
      <c r="I4" s="23" t="n">
        <v>4</v>
      </c>
      <c r="J4" s="23" t="n">
        <v>250</v>
      </c>
      <c r="K4" s="23" t="n">
        <v>10000</v>
      </c>
    </row>
    <row r="5" customFormat="false" ht="27" hidden="false" customHeight="true" outlineLevel="0" collapsed="false">
      <c r="A5" s="23" t="s">
        <v>108</v>
      </c>
      <c r="B5" s="23" t="s">
        <v>17</v>
      </c>
      <c r="C5" s="23" t="s">
        <v>109</v>
      </c>
      <c r="D5" s="23" t="s">
        <v>110</v>
      </c>
      <c r="E5" s="23" t="s">
        <v>111</v>
      </c>
      <c r="F5" s="23" t="s">
        <v>101</v>
      </c>
      <c r="G5" s="23" t="s">
        <v>112</v>
      </c>
      <c r="H5" s="23" t="s">
        <v>103</v>
      </c>
      <c r="I5" s="23" t="n">
        <v>4</v>
      </c>
      <c r="J5" s="23" t="n">
        <v>250</v>
      </c>
      <c r="K5" s="23" t="n">
        <v>10000</v>
      </c>
    </row>
    <row r="6" customFormat="false" ht="27" hidden="false" customHeight="true" outlineLevel="0" collapsed="false">
      <c r="A6" s="23" t="s">
        <v>113</v>
      </c>
      <c r="B6" s="23" t="s">
        <v>17</v>
      </c>
      <c r="C6" s="23" t="s">
        <v>114</v>
      </c>
      <c r="D6" s="23" t="s">
        <v>115</v>
      </c>
      <c r="E6" s="23" t="s">
        <v>116</v>
      </c>
      <c r="F6" s="23" t="s">
        <v>101</v>
      </c>
      <c r="G6" s="23" t="s">
        <v>117</v>
      </c>
      <c r="H6" s="23" t="s">
        <v>103</v>
      </c>
      <c r="I6" s="23" t="n">
        <v>4</v>
      </c>
      <c r="J6" s="23" t="n">
        <v>250</v>
      </c>
      <c r="K6" s="23" t="n">
        <v>10000</v>
      </c>
    </row>
    <row r="7" s="3" customFormat="true" ht="27" hidden="false" customHeight="true" outlineLevel="0" collapsed="false">
      <c r="A7" s="23" t="s">
        <v>118</v>
      </c>
      <c r="B7" s="23" t="s">
        <v>26</v>
      </c>
      <c r="C7" s="23" t="s">
        <v>119</v>
      </c>
      <c r="D7" s="23" t="s">
        <v>120</v>
      </c>
      <c r="E7" s="23" t="s">
        <v>116</v>
      </c>
      <c r="F7" s="23" t="s">
        <v>101</v>
      </c>
      <c r="G7" s="23" t="s">
        <v>121</v>
      </c>
      <c r="H7" s="23" t="s">
        <v>103</v>
      </c>
      <c r="I7" s="23" t="n">
        <v>3</v>
      </c>
      <c r="J7" s="23" t="n">
        <v>300</v>
      </c>
      <c r="K7" s="23" t="n">
        <v>12000</v>
      </c>
      <c r="L7" s="2"/>
      <c r="M7" s="20"/>
      <c r="N7" s="20"/>
      <c r="O7" s="20"/>
      <c r="P7" s="20"/>
      <c r="Q7" s="20"/>
      <c r="R7" s="20"/>
      <c r="S7" s="20"/>
    </row>
    <row r="8" customFormat="false" ht="27" hidden="false" customHeight="true" outlineLevel="0" collapsed="false">
      <c r="A8" s="23" t="s">
        <v>122</v>
      </c>
      <c r="B8" s="23" t="s">
        <v>31</v>
      </c>
      <c r="C8" s="23" t="s">
        <v>34</v>
      </c>
      <c r="D8" s="23" t="s">
        <v>123</v>
      </c>
      <c r="E8" s="23" t="s">
        <v>100</v>
      </c>
      <c r="F8" s="23" t="s">
        <v>124</v>
      </c>
      <c r="G8" s="23" t="s">
        <v>125</v>
      </c>
      <c r="H8" s="23" t="s">
        <v>103</v>
      </c>
      <c r="I8" s="23" t="n">
        <v>3</v>
      </c>
      <c r="J8" s="23" t="n">
        <v>300</v>
      </c>
      <c r="K8" s="23" t="n">
        <v>12000</v>
      </c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23" activeCellId="0" sqref="E23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20" width="27.34"/>
    <col collapsed="false" customWidth="true" hidden="false" outlineLevel="0" max="11" min="8" style="2" width="27.34"/>
    <col collapsed="false" customWidth="false" hidden="false" outlineLevel="0" max="13" min="13" style="20" width="11"/>
    <col collapsed="false" customWidth="false" hidden="false" outlineLevel="0" max="16383" min="15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1" t="s">
        <v>86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"/>
    </row>
    <row r="2" s="8" customFormat="true" ht="40.5" hidden="false" customHeight="true" outlineLevel="0" collapsed="false">
      <c r="A2" s="22" t="s">
        <v>126</v>
      </c>
      <c r="B2" s="22" t="s">
        <v>89</v>
      </c>
      <c r="C2" s="22" t="s">
        <v>127</v>
      </c>
      <c r="D2" s="22" t="s">
        <v>128</v>
      </c>
      <c r="E2" s="22" t="s">
        <v>129</v>
      </c>
      <c r="F2" s="22" t="s">
        <v>130</v>
      </c>
      <c r="G2" s="22" t="s">
        <v>131</v>
      </c>
      <c r="H2" s="22" t="s">
        <v>132</v>
      </c>
      <c r="I2" s="22" t="s">
        <v>133</v>
      </c>
      <c r="J2" s="22" t="s">
        <v>134</v>
      </c>
      <c r="K2" s="22" t="s">
        <v>135</v>
      </c>
      <c r="M2" s="20"/>
      <c r="N2" s="0"/>
    </row>
    <row r="3" customFormat="false" ht="27" hidden="false" customHeight="true" outlineLevel="0" collapsed="false">
      <c r="A3" s="23" t="s">
        <v>136</v>
      </c>
      <c r="B3" s="23" t="s">
        <v>99</v>
      </c>
      <c r="C3" s="23" t="s">
        <v>137</v>
      </c>
      <c r="D3" s="23" t="s">
        <v>138</v>
      </c>
      <c r="E3" s="23" t="s">
        <v>139</v>
      </c>
      <c r="F3" s="23" t="s">
        <v>140</v>
      </c>
      <c r="G3" s="23" t="s">
        <v>141</v>
      </c>
      <c r="H3" s="23" t="s">
        <v>142</v>
      </c>
      <c r="I3" s="23" t="n">
        <v>0.5</v>
      </c>
      <c r="J3" s="23" t="n">
        <v>12</v>
      </c>
      <c r="K3" s="23" t="n">
        <v>2</v>
      </c>
      <c r="L3" s="2"/>
    </row>
    <row r="4" customFormat="false" ht="27" hidden="false" customHeight="true" outlineLevel="0" collapsed="false">
      <c r="A4" s="23" t="s">
        <v>143</v>
      </c>
      <c r="B4" s="23" t="s">
        <v>99</v>
      </c>
      <c r="C4" s="23" t="s">
        <v>144</v>
      </c>
      <c r="D4" s="23" t="s">
        <v>145</v>
      </c>
      <c r="E4" s="23" t="s">
        <v>146</v>
      </c>
      <c r="F4" s="23" t="s">
        <v>147</v>
      </c>
      <c r="G4" s="23" t="s">
        <v>148</v>
      </c>
      <c r="H4" s="23" t="s">
        <v>149</v>
      </c>
      <c r="I4" s="23" t="n">
        <v>8</v>
      </c>
      <c r="J4" s="23" t="n">
        <v>40</v>
      </c>
      <c r="K4" s="23" t="n">
        <v>10</v>
      </c>
      <c r="L4" s="2"/>
    </row>
    <row r="5" customFormat="false" ht="27" hidden="false" customHeight="true" outlineLevel="0" collapsed="false">
      <c r="A5" s="23" t="s">
        <v>150</v>
      </c>
      <c r="B5" s="23" t="s">
        <v>99</v>
      </c>
      <c r="C5" s="23" t="s">
        <v>151</v>
      </c>
      <c r="D5" s="23" t="s">
        <v>145</v>
      </c>
      <c r="E5" s="23" t="s">
        <v>146</v>
      </c>
      <c r="F5" s="23" t="s">
        <v>147</v>
      </c>
      <c r="G5" s="23" t="s">
        <v>152</v>
      </c>
      <c r="H5" s="23" t="s">
        <v>142</v>
      </c>
      <c r="I5" s="23" t="n">
        <v>8</v>
      </c>
      <c r="J5" s="23" t="n">
        <v>40</v>
      </c>
      <c r="K5" s="23" t="n">
        <v>10</v>
      </c>
      <c r="L5" s="2"/>
    </row>
    <row r="6" customFormat="false" ht="27" hidden="false" customHeight="true" outlineLevel="0" collapsed="false">
      <c r="A6" s="23" t="s">
        <v>153</v>
      </c>
      <c r="B6" s="23" t="s">
        <v>99</v>
      </c>
      <c r="C6" s="23" t="s">
        <v>154</v>
      </c>
      <c r="D6" s="23" t="s">
        <v>145</v>
      </c>
      <c r="E6" s="23" t="s">
        <v>146</v>
      </c>
      <c r="F6" s="23" t="s">
        <v>147</v>
      </c>
      <c r="G6" s="23" t="s">
        <v>155</v>
      </c>
      <c r="H6" s="23" t="s">
        <v>156</v>
      </c>
      <c r="I6" s="23" t="n">
        <v>8</v>
      </c>
      <c r="J6" s="23" t="n">
        <v>40</v>
      </c>
      <c r="K6" s="23" t="n">
        <v>10</v>
      </c>
      <c r="L6" s="2"/>
    </row>
    <row r="7" customFormat="false" ht="27" hidden="false" customHeight="true" outlineLevel="0" collapsed="false">
      <c r="A7" s="23" t="s">
        <v>157</v>
      </c>
      <c r="B7" s="23" t="s">
        <v>106</v>
      </c>
      <c r="C7" s="23" t="s">
        <v>158</v>
      </c>
      <c r="D7" s="23" t="s">
        <v>138</v>
      </c>
      <c r="E7" s="23" t="s">
        <v>139</v>
      </c>
      <c r="F7" s="23" t="s">
        <v>140</v>
      </c>
      <c r="G7" s="23" t="s">
        <v>141</v>
      </c>
      <c r="H7" s="23" t="s">
        <v>142</v>
      </c>
      <c r="I7" s="23" t="n">
        <v>0.5</v>
      </c>
      <c r="J7" s="23" t="n">
        <v>12</v>
      </c>
      <c r="K7" s="23" t="n">
        <v>2</v>
      </c>
      <c r="L7" s="2"/>
    </row>
    <row r="8" customFormat="false" ht="27" hidden="false" customHeight="true" outlineLevel="0" collapsed="false">
      <c r="A8" s="23" t="s">
        <v>159</v>
      </c>
      <c r="B8" s="23" t="s">
        <v>106</v>
      </c>
      <c r="C8" s="23" t="s">
        <v>160</v>
      </c>
      <c r="D8" s="23" t="s">
        <v>145</v>
      </c>
      <c r="E8" s="23" t="s">
        <v>146</v>
      </c>
      <c r="F8" s="23" t="s">
        <v>147</v>
      </c>
      <c r="G8" s="23" t="s">
        <v>148</v>
      </c>
      <c r="H8" s="23" t="s">
        <v>149</v>
      </c>
      <c r="I8" s="23" t="n">
        <v>8</v>
      </c>
      <c r="J8" s="23" t="n">
        <v>40</v>
      </c>
      <c r="K8" s="23" t="n">
        <v>10</v>
      </c>
      <c r="L8" s="2"/>
    </row>
    <row r="9" customFormat="false" ht="27" hidden="false" customHeight="true" outlineLevel="0" collapsed="false">
      <c r="A9" s="23" t="s">
        <v>161</v>
      </c>
      <c r="B9" s="23" t="s">
        <v>110</v>
      </c>
      <c r="C9" s="23" t="s">
        <v>162</v>
      </c>
      <c r="D9" s="23" t="s">
        <v>138</v>
      </c>
      <c r="E9" s="23" t="s">
        <v>139</v>
      </c>
      <c r="F9" s="23" t="s">
        <v>140</v>
      </c>
      <c r="G9" s="23" t="s">
        <v>141</v>
      </c>
      <c r="H9" s="23" t="s">
        <v>142</v>
      </c>
      <c r="I9" s="23" t="n">
        <v>0.5</v>
      </c>
      <c r="J9" s="23" t="n">
        <v>12</v>
      </c>
      <c r="K9" s="23" t="n">
        <v>2</v>
      </c>
      <c r="L9" s="2"/>
    </row>
    <row r="10" customFormat="false" ht="27" hidden="false" customHeight="true" outlineLevel="0" collapsed="false">
      <c r="A10" s="23" t="s">
        <v>163</v>
      </c>
      <c r="B10" s="23" t="s">
        <v>115</v>
      </c>
      <c r="C10" s="23" t="s">
        <v>164</v>
      </c>
      <c r="D10" s="23" t="s">
        <v>138</v>
      </c>
      <c r="E10" s="23" t="s">
        <v>139</v>
      </c>
      <c r="F10" s="23" t="s">
        <v>140</v>
      </c>
      <c r="G10" s="23" t="s">
        <v>141</v>
      </c>
      <c r="H10" s="23" t="s">
        <v>142</v>
      </c>
      <c r="I10" s="23" t="n">
        <v>0.5</v>
      </c>
      <c r="J10" s="23" t="n">
        <v>12</v>
      </c>
      <c r="K10" s="23" t="n">
        <v>2</v>
      </c>
      <c r="L10" s="2"/>
    </row>
    <row r="11" customFormat="false" ht="27" hidden="false" customHeight="true" outlineLevel="0" collapsed="false">
      <c r="A11" s="23" t="s">
        <v>165</v>
      </c>
      <c r="B11" s="23" t="s">
        <v>120</v>
      </c>
      <c r="C11" s="23" t="s">
        <v>166</v>
      </c>
      <c r="D11" s="23" t="s">
        <v>138</v>
      </c>
      <c r="E11" s="23" t="s">
        <v>139</v>
      </c>
      <c r="F11" s="23" t="s">
        <v>140</v>
      </c>
      <c r="G11" s="23" t="s">
        <v>141</v>
      </c>
      <c r="H11" s="23" t="s">
        <v>167</v>
      </c>
      <c r="I11" s="23" t="n">
        <v>0.5</v>
      </c>
      <c r="J11" s="23" t="n">
        <v>12</v>
      </c>
      <c r="K11" s="23" t="n">
        <v>2</v>
      </c>
      <c r="L11" s="2"/>
    </row>
    <row r="12" customFormat="false" ht="27" hidden="false" customHeight="true" outlineLevel="0" collapsed="false">
      <c r="A12" s="23" t="s">
        <v>168</v>
      </c>
      <c r="B12" s="23" t="s">
        <v>120</v>
      </c>
      <c r="C12" s="23" t="s">
        <v>169</v>
      </c>
      <c r="D12" s="23" t="s">
        <v>145</v>
      </c>
      <c r="E12" s="23" t="s">
        <v>146</v>
      </c>
      <c r="F12" s="23" t="s">
        <v>147</v>
      </c>
      <c r="G12" s="23" t="s">
        <v>148</v>
      </c>
      <c r="H12" s="23" t="s">
        <v>170</v>
      </c>
      <c r="I12" s="23" t="n">
        <v>8</v>
      </c>
      <c r="J12" s="23" t="n">
        <v>40</v>
      </c>
      <c r="K12" s="23" t="n">
        <v>10</v>
      </c>
      <c r="L12" s="2"/>
    </row>
    <row r="13" customFormat="false" ht="27" hidden="false" customHeight="true" outlineLevel="0" collapsed="false">
      <c r="A13" s="23" t="s">
        <v>171</v>
      </c>
      <c r="B13" s="23" t="s">
        <v>120</v>
      </c>
      <c r="C13" s="23" t="s">
        <v>172</v>
      </c>
      <c r="D13" s="23" t="s">
        <v>145</v>
      </c>
      <c r="E13" s="23" t="s">
        <v>146</v>
      </c>
      <c r="F13" s="23" t="s">
        <v>147</v>
      </c>
      <c r="G13" s="23" t="s">
        <v>152</v>
      </c>
      <c r="H13" s="23" t="s">
        <v>167</v>
      </c>
      <c r="I13" s="23" t="n">
        <v>8</v>
      </c>
      <c r="J13" s="23" t="n">
        <v>40</v>
      </c>
      <c r="K13" s="23" t="n">
        <v>10</v>
      </c>
      <c r="L13" s="2"/>
    </row>
    <row r="14" customFormat="false" ht="27" hidden="false" customHeight="true" outlineLevel="0" collapsed="false">
      <c r="A14" s="23" t="s">
        <v>173</v>
      </c>
      <c r="B14" s="23" t="s">
        <v>120</v>
      </c>
      <c r="C14" s="23" t="s">
        <v>174</v>
      </c>
      <c r="D14" s="23" t="s">
        <v>145</v>
      </c>
      <c r="E14" s="23" t="s">
        <v>146</v>
      </c>
      <c r="F14" s="23" t="s">
        <v>147</v>
      </c>
      <c r="G14" s="23" t="s">
        <v>155</v>
      </c>
      <c r="H14" s="23" t="s">
        <v>175</v>
      </c>
      <c r="I14" s="23" t="n">
        <v>8</v>
      </c>
      <c r="J14" s="23" t="n">
        <v>40</v>
      </c>
      <c r="K14" s="23" t="n">
        <v>10</v>
      </c>
      <c r="L14" s="2"/>
    </row>
    <row r="15" customFormat="false" ht="27" hidden="false" customHeight="true" outlineLevel="0" collapsed="false">
      <c r="A15" s="23" t="s">
        <v>176</v>
      </c>
      <c r="B15" s="23" t="s">
        <v>120</v>
      </c>
      <c r="C15" s="23" t="s">
        <v>177</v>
      </c>
      <c r="D15" s="23" t="s">
        <v>145</v>
      </c>
      <c r="E15" s="23" t="s">
        <v>146</v>
      </c>
      <c r="F15" s="23" t="s">
        <v>147</v>
      </c>
      <c r="G15" s="23" t="s">
        <v>178</v>
      </c>
      <c r="H15" s="23" t="s">
        <v>179</v>
      </c>
      <c r="I15" s="23" t="n">
        <v>8</v>
      </c>
      <c r="J15" s="23" t="n">
        <v>40</v>
      </c>
      <c r="K15" s="23" t="n">
        <v>10</v>
      </c>
      <c r="L15" s="2"/>
    </row>
    <row r="16" s="3" customFormat="true" ht="27" hidden="false" customHeight="true" outlineLevel="0" collapsed="false">
      <c r="A16" s="23" t="s">
        <v>180</v>
      </c>
      <c r="B16" s="23" t="s">
        <v>123</v>
      </c>
      <c r="C16" s="23" t="s">
        <v>34</v>
      </c>
      <c r="D16" s="23" t="s">
        <v>145</v>
      </c>
      <c r="E16" s="23" t="s">
        <v>181</v>
      </c>
      <c r="F16" s="23" t="s">
        <v>140</v>
      </c>
      <c r="G16" s="23" t="s">
        <v>182</v>
      </c>
      <c r="H16" s="23" t="s">
        <v>142</v>
      </c>
      <c r="I16" s="23" t="n">
        <v>0.1</v>
      </c>
      <c r="J16" s="23" t="n">
        <v>12</v>
      </c>
      <c r="K16" s="23" t="n">
        <v>2</v>
      </c>
      <c r="L16" s="2"/>
      <c r="M16" s="20"/>
      <c r="N16" s="0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K1" colorId="64" zoomScale="85" zoomScaleNormal="85" zoomScalePageLayoutView="100" workbookViewId="0">
      <selection pane="topLeft" activeCell="L3" activeCellId="0" sqref="L3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48.9"/>
    <col collapsed="false" customWidth="true" hidden="false" outlineLevel="0" max="8" min="8" style="2" width="28.83"/>
    <col collapsed="false" customWidth="true" hidden="false" outlineLevel="0" max="9" min="9" style="2" width="44.17"/>
    <col collapsed="false" customWidth="true" hidden="false" outlineLevel="0" max="10" min="10" style="2" width="29.26"/>
    <col collapsed="false" customWidth="true" hidden="false" outlineLevel="0" max="11" min="11" style="20" width="51.08"/>
    <col collapsed="false" customWidth="true" hidden="false" outlineLevel="0" max="12" min="12" style="20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20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4" t="s">
        <v>183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</row>
    <row r="2" s="8" customFormat="true" ht="40.5" hidden="false" customHeight="true" outlineLevel="0" collapsed="false">
      <c r="A2" s="25" t="s">
        <v>91</v>
      </c>
      <c r="B2" s="25" t="s">
        <v>184</v>
      </c>
      <c r="C2" s="25" t="s">
        <v>185</v>
      </c>
      <c r="D2" s="25" t="s">
        <v>186</v>
      </c>
      <c r="E2" s="25" t="s">
        <v>187</v>
      </c>
      <c r="F2" s="25" t="s">
        <v>188</v>
      </c>
      <c r="G2" s="25" t="s">
        <v>189</v>
      </c>
      <c r="H2" s="25" t="s">
        <v>190</v>
      </c>
      <c r="I2" s="25" t="s">
        <v>191</v>
      </c>
      <c r="J2" s="25" t="s">
        <v>192</v>
      </c>
      <c r="K2" s="25" t="s">
        <v>193</v>
      </c>
      <c r="L2" s="25" t="s">
        <v>194</v>
      </c>
      <c r="M2" s="25" t="s">
        <v>195</v>
      </c>
      <c r="N2" s="25" t="s">
        <v>196</v>
      </c>
      <c r="O2" s="25" t="s">
        <v>197</v>
      </c>
      <c r="P2" s="25" t="s">
        <v>198</v>
      </c>
      <c r="Q2" s="25" t="s">
        <v>199</v>
      </c>
      <c r="R2" s="25" t="s">
        <v>200</v>
      </c>
    </row>
    <row r="3" customFormat="false" ht="27" hidden="false" customHeight="true" outlineLevel="0" collapsed="false">
      <c r="A3" s="26" t="s">
        <v>101</v>
      </c>
      <c r="B3" s="26" t="s">
        <v>201</v>
      </c>
      <c r="C3" s="26" t="s">
        <v>202</v>
      </c>
      <c r="D3" s="26" t="n">
        <v>10</v>
      </c>
      <c r="E3" s="26" t="n">
        <v>15</v>
      </c>
      <c r="F3" s="26" t="b">
        <f aca="false">TRUE()</f>
        <v>1</v>
      </c>
      <c r="G3" s="26" t="s">
        <v>203</v>
      </c>
      <c r="H3" s="26" t="b">
        <f aca="false">TRUE()</f>
        <v>1</v>
      </c>
      <c r="I3" s="26" t="s">
        <v>204</v>
      </c>
      <c r="J3" s="26" t="b">
        <f aca="false">TRUE()</f>
        <v>1</v>
      </c>
      <c r="K3" s="26" t="s">
        <v>205</v>
      </c>
      <c r="L3" s="26" t="b">
        <f aca="false">TRUE()</f>
        <v>1</v>
      </c>
      <c r="M3" s="26" t="s">
        <v>206</v>
      </c>
      <c r="N3" s="26" t="n">
        <v>4.5</v>
      </c>
      <c r="O3" s="26" t="n">
        <v>1.5</v>
      </c>
      <c r="P3" s="26" t="n">
        <v>250</v>
      </c>
      <c r="Q3" s="26" t="n">
        <v>200</v>
      </c>
      <c r="R3" s="26" t="n">
        <v>20</v>
      </c>
    </row>
    <row r="4" customFormat="false" ht="27" hidden="false" customHeight="true" outlineLevel="0" collapsed="false">
      <c r="A4" s="26" t="s">
        <v>124</v>
      </c>
      <c r="B4" s="26" t="s">
        <v>207</v>
      </c>
      <c r="C4" s="26" t="s">
        <v>208</v>
      </c>
      <c r="D4" s="26" t="n">
        <v>8</v>
      </c>
      <c r="E4" s="26" t="n">
        <v>12</v>
      </c>
      <c r="F4" s="26" t="b">
        <f aca="false">TRUE()</f>
        <v>1</v>
      </c>
      <c r="G4" s="26" t="s">
        <v>203</v>
      </c>
      <c r="H4" s="26" t="b">
        <f aca="false">TRUE()</f>
        <v>1</v>
      </c>
      <c r="I4" s="26" t="s">
        <v>204</v>
      </c>
      <c r="J4" s="26" t="b">
        <f aca="false">TRUE()</f>
        <v>1</v>
      </c>
      <c r="K4" s="26" t="s">
        <v>205</v>
      </c>
      <c r="L4" s="26" t="b">
        <f aca="false">TRUE()</f>
        <v>1</v>
      </c>
      <c r="M4" s="26" t="s">
        <v>206</v>
      </c>
      <c r="N4" s="26" t="n">
        <v>6.5</v>
      </c>
      <c r="O4" s="26" t="n">
        <v>2.5</v>
      </c>
      <c r="P4" s="26" t="n">
        <v>400</v>
      </c>
      <c r="Q4" s="26" t="n">
        <v>350</v>
      </c>
      <c r="R4" s="26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4" activeCellId="0" sqref="A4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9.34"/>
    <col collapsed="false" customWidth="false" hidden="false" outlineLevel="0" max="7" min="7" style="20" width="11"/>
    <col collapsed="false" customWidth="false" hidden="false" outlineLevel="0" max="16383" min="8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4" t="s">
        <v>183</v>
      </c>
      <c r="B1" s="24"/>
      <c r="C1" s="24"/>
      <c r="D1" s="24"/>
      <c r="E1" s="24"/>
      <c r="F1" s="24"/>
    </row>
    <row r="2" s="8" customFormat="true" ht="40.5" hidden="false" customHeight="true" outlineLevel="0" collapsed="false">
      <c r="A2" s="25" t="s">
        <v>128</v>
      </c>
      <c r="B2" s="25" t="s">
        <v>209</v>
      </c>
      <c r="C2" s="25" t="s">
        <v>210</v>
      </c>
      <c r="D2" s="25" t="s">
        <v>211</v>
      </c>
      <c r="E2" s="25" t="s">
        <v>212</v>
      </c>
      <c r="F2" s="25" t="s">
        <v>213</v>
      </c>
      <c r="G2" s="20"/>
    </row>
    <row r="3" customFormat="false" ht="27" hidden="false" customHeight="true" outlineLevel="0" collapsed="false">
      <c r="A3" s="26" t="s">
        <v>138</v>
      </c>
      <c r="B3" s="26" t="s">
        <v>214</v>
      </c>
      <c r="C3" s="26" t="s">
        <v>215</v>
      </c>
      <c r="D3" s="26" t="n">
        <v>0.4</v>
      </c>
      <c r="E3" s="26" t="n">
        <v>5</v>
      </c>
      <c r="F3" s="26" t="n">
        <v>15</v>
      </c>
    </row>
    <row r="4" customFormat="false" ht="27" hidden="false" customHeight="true" outlineLevel="0" collapsed="false">
      <c r="A4" s="26" t="s">
        <v>145</v>
      </c>
      <c r="B4" s="26" t="s">
        <v>216</v>
      </c>
      <c r="C4" s="26" t="s">
        <v>217</v>
      </c>
      <c r="D4" s="26" t="n">
        <v>0.6</v>
      </c>
      <c r="E4" s="26" t="n">
        <v>10</v>
      </c>
      <c r="F4" s="26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24" activeCellId="0" sqref="D2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8"/>
    <col collapsed="false" customWidth="true" hidden="false" outlineLevel="0" max="8" min="8" style="20" width="10.49"/>
    <col collapsed="false" customWidth="false" hidden="false" outlineLevel="0" max="10" min="9" style="20" width="11"/>
    <col collapsed="false" customWidth="false" hidden="false" outlineLevel="0" max="16381" min="11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24" t="s">
        <v>183</v>
      </c>
      <c r="B1" s="24"/>
      <c r="C1" s="24"/>
      <c r="D1" s="24"/>
      <c r="E1" s="24"/>
      <c r="F1" s="24"/>
      <c r="G1" s="24"/>
    </row>
    <row r="2" s="8" customFormat="true" ht="40.5" hidden="false" customHeight="true" outlineLevel="0" collapsed="false">
      <c r="A2" s="25" t="s">
        <v>218</v>
      </c>
      <c r="B2" s="25" t="s">
        <v>210</v>
      </c>
      <c r="C2" s="25" t="s">
        <v>219</v>
      </c>
      <c r="D2" s="25" t="s">
        <v>220</v>
      </c>
      <c r="E2" s="25" t="s">
        <v>221</v>
      </c>
      <c r="F2" s="25" t="s">
        <v>222</v>
      </c>
      <c r="G2" s="25" t="s">
        <v>223</v>
      </c>
      <c r="H2" s="20"/>
      <c r="I2" s="20"/>
      <c r="J2" s="20"/>
    </row>
    <row r="3" customFormat="false" ht="27" hidden="false" customHeight="true" outlineLevel="0" collapsed="false">
      <c r="A3" s="26" t="s">
        <v>224</v>
      </c>
      <c r="B3" s="26" t="s">
        <v>215</v>
      </c>
      <c r="C3" s="26" t="s">
        <v>225</v>
      </c>
      <c r="D3" s="26" t="s">
        <v>226</v>
      </c>
      <c r="E3" s="26" t="n">
        <v>180</v>
      </c>
      <c r="F3" s="26" t="n">
        <v>0.1</v>
      </c>
      <c r="G3" s="26" t="n">
        <v>0.97</v>
      </c>
    </row>
    <row r="4" customFormat="false" ht="27" hidden="false" customHeight="true" outlineLevel="0" collapsed="false">
      <c r="A4" s="26" t="s">
        <v>227</v>
      </c>
      <c r="B4" s="26" t="s">
        <v>215</v>
      </c>
      <c r="C4" s="26" t="s">
        <v>228</v>
      </c>
      <c r="D4" s="26" t="s">
        <v>229</v>
      </c>
      <c r="E4" s="26" t="n">
        <v>180</v>
      </c>
      <c r="F4" s="26" t="n">
        <v>0.05</v>
      </c>
      <c r="G4" s="26" t="n">
        <v>0.99</v>
      </c>
    </row>
    <row r="5" customFormat="false" ht="27" hidden="false" customHeight="true" outlineLevel="0" collapsed="false">
      <c r="A5" s="26" t="s">
        <v>230</v>
      </c>
      <c r="B5" s="26" t="s">
        <v>217</v>
      </c>
      <c r="C5" s="26" t="s">
        <v>231</v>
      </c>
      <c r="D5" s="26" t="s">
        <v>232</v>
      </c>
      <c r="E5" s="26" t="n">
        <v>270</v>
      </c>
      <c r="F5" s="26" t="n">
        <v>0.06</v>
      </c>
      <c r="G5" s="26" t="n">
        <v>0.95</v>
      </c>
    </row>
    <row r="6" customFormat="false" ht="27" hidden="false" customHeight="true" outlineLevel="0" collapsed="false">
      <c r="A6" s="26" t="s">
        <v>233</v>
      </c>
      <c r="B6" s="26" t="s">
        <v>217</v>
      </c>
      <c r="C6" s="26" t="s">
        <v>225</v>
      </c>
      <c r="D6" s="26" t="s">
        <v>226</v>
      </c>
      <c r="E6" s="26" t="n">
        <v>180</v>
      </c>
      <c r="F6" s="26" t="n">
        <v>0.1</v>
      </c>
      <c r="G6" s="26" t="n">
        <v>0.97</v>
      </c>
    </row>
    <row r="7" customFormat="false" ht="27" hidden="false" customHeight="true" outlineLevel="0" collapsed="false">
      <c r="A7" s="26" t="s">
        <v>234</v>
      </c>
      <c r="B7" s="26" t="s">
        <v>217</v>
      </c>
      <c r="C7" s="26" t="s">
        <v>228</v>
      </c>
      <c r="D7" s="26" t="s">
        <v>229</v>
      </c>
      <c r="E7" s="26" t="n">
        <v>180</v>
      </c>
      <c r="F7" s="26" t="n">
        <v>0.05</v>
      </c>
      <c r="G7" s="26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4"/>
  <sheetViews>
    <sheetView showFormulas="false" showGridLines="true" showRowColHeaders="true" showZeros="true" rightToLeft="false" tabSelected="true" showOutlineSymbols="true" defaultGridColor="true" view="normal" topLeftCell="B1" colorId="64" zoomScale="85" zoomScaleNormal="85" zoomScalePageLayoutView="100" workbookViewId="0">
      <selection pane="topLeft" activeCell="F17" activeCellId="0" sqref="F17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20" width="26.66"/>
    <col collapsed="false" customWidth="true" hidden="false" outlineLevel="0" max="7" min="6" style="2" width="26.66"/>
    <col collapsed="false" customWidth="true" hidden="false" outlineLevel="0" max="8" min="8" style="2" width="32.44"/>
    <col collapsed="false" customWidth="true" hidden="false" outlineLevel="0" max="9" min="9" style="2" width="68.89"/>
    <col collapsed="false" customWidth="true" hidden="false" outlineLevel="0" max="10" min="10" style="2" width="30.03"/>
    <col collapsed="false" customWidth="true" hidden="false" outlineLevel="0" max="11" min="11" style="2" width="68.89"/>
    <col collapsed="false" customWidth="true" hidden="false" outlineLevel="0" max="12" min="12" style="2" width="26.66"/>
    <col collapsed="false" customWidth="true" hidden="false" outlineLevel="0" max="13" min="13" style="2" width="30.44"/>
    <col collapsed="false" customWidth="true" hidden="false" outlineLevel="0" max="14" min="14" style="2" width="26.66"/>
    <col collapsed="false" customWidth="false" hidden="false" outlineLevel="0" max="16384" min="15" style="2" width="11"/>
  </cols>
  <sheetData>
    <row r="1" customFormat="false" ht="54" hidden="false" customHeight="true" outlineLevel="0" collapsed="false">
      <c r="A1" s="24" t="s">
        <v>183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="8" customFormat="true" ht="40.5" hidden="false" customHeight="true" outlineLevel="0" collapsed="false">
      <c r="A2" s="25" t="s">
        <v>129</v>
      </c>
      <c r="B2" s="25" t="s">
        <v>235</v>
      </c>
      <c r="C2" s="25" t="s">
        <v>236</v>
      </c>
      <c r="D2" s="25" t="s">
        <v>237</v>
      </c>
      <c r="E2" s="25" t="s">
        <v>238</v>
      </c>
      <c r="F2" s="25" t="s">
        <v>239</v>
      </c>
      <c r="G2" s="25" t="s">
        <v>240</v>
      </c>
      <c r="H2" s="25" t="s">
        <v>241</v>
      </c>
      <c r="I2" s="25" t="s">
        <v>242</v>
      </c>
      <c r="J2" s="25" t="s">
        <v>243</v>
      </c>
      <c r="K2" s="25" t="s">
        <v>244</v>
      </c>
      <c r="L2" s="25" t="s">
        <v>211</v>
      </c>
      <c r="M2" s="25" t="s">
        <v>212</v>
      </c>
      <c r="N2" s="25" t="s">
        <v>213</v>
      </c>
    </row>
    <row r="3" customFormat="false" ht="27" hidden="false" customHeight="true" outlineLevel="0" collapsed="false">
      <c r="A3" s="26" t="s">
        <v>139</v>
      </c>
      <c r="B3" s="26" t="s">
        <v>245</v>
      </c>
      <c r="C3" s="26" t="s">
        <v>246</v>
      </c>
      <c r="D3" s="26" t="s">
        <v>247</v>
      </c>
      <c r="E3" s="26" t="n">
        <v>1</v>
      </c>
      <c r="F3" s="26" t="n">
        <v>6.287</v>
      </c>
      <c r="G3" s="26" t="n">
        <v>4.712</v>
      </c>
      <c r="H3" s="26" t="b">
        <f aca="false">FALSE()</f>
        <v>0</v>
      </c>
      <c r="I3" s="26" t="s">
        <v>248</v>
      </c>
      <c r="J3" s="26" t="b">
        <f aca="false">FALSE()</f>
        <v>0</v>
      </c>
      <c r="K3" s="26" t="s">
        <v>249</v>
      </c>
      <c r="L3" s="26" t="n">
        <v>0.2</v>
      </c>
      <c r="M3" s="26" t="n">
        <v>2</v>
      </c>
      <c r="N3" s="26" t="n">
        <v>5</v>
      </c>
    </row>
    <row r="4" customFormat="false" ht="27" hidden="false" customHeight="true" outlineLevel="0" collapsed="false">
      <c r="A4" s="26" t="s">
        <v>146</v>
      </c>
      <c r="B4" s="26" t="s">
        <v>250</v>
      </c>
      <c r="C4" s="26" t="s">
        <v>246</v>
      </c>
      <c r="D4" s="26" t="s">
        <v>251</v>
      </c>
      <c r="E4" s="26" t="n">
        <v>10</v>
      </c>
      <c r="F4" s="26" t="n">
        <v>13.2</v>
      </c>
      <c r="G4" s="26" t="n">
        <v>8.8</v>
      </c>
      <c r="H4" s="26" t="b">
        <f aca="false">FALSE()</f>
        <v>0</v>
      </c>
      <c r="I4" s="26" t="s">
        <v>248</v>
      </c>
      <c r="J4" s="26" t="b">
        <f aca="false">FALSE()</f>
        <v>0</v>
      </c>
      <c r="K4" s="26" t="s">
        <v>249</v>
      </c>
      <c r="L4" s="26" t="n">
        <v>0.5</v>
      </c>
      <c r="M4" s="26" t="n">
        <v>2</v>
      </c>
      <c r="N4" s="26" t="n">
        <v>5</v>
      </c>
    </row>
    <row r="5" customFormat="false" ht="27" hidden="false" customHeight="true" outlineLevel="0" collapsed="false">
      <c r="A5" s="26" t="s">
        <v>252</v>
      </c>
      <c r="B5" s="26" t="s">
        <v>253</v>
      </c>
      <c r="C5" s="26" t="s">
        <v>246</v>
      </c>
      <c r="D5" s="26" t="s">
        <v>247</v>
      </c>
      <c r="E5" s="26" t="n">
        <v>30</v>
      </c>
      <c r="F5" s="26" t="n">
        <v>35.9</v>
      </c>
      <c r="G5" s="26" t="n">
        <v>24</v>
      </c>
      <c r="H5" s="26" t="b">
        <f aca="false">FALSE()</f>
        <v>0</v>
      </c>
      <c r="I5" s="26" t="s">
        <v>248</v>
      </c>
      <c r="J5" s="26" t="b">
        <f aca="false">FALSE()</f>
        <v>0</v>
      </c>
      <c r="K5" s="26" t="s">
        <v>249</v>
      </c>
      <c r="L5" s="26" t="n">
        <v>0.6</v>
      </c>
      <c r="M5" s="26" t="n">
        <v>3</v>
      </c>
      <c r="N5" s="26" t="n">
        <v>5</v>
      </c>
    </row>
    <row r="6" customFormat="false" ht="27" hidden="false" customHeight="true" outlineLevel="0" collapsed="false">
      <c r="A6" s="26" t="s">
        <v>254</v>
      </c>
      <c r="B6" s="26" t="s">
        <v>255</v>
      </c>
      <c r="C6" s="26" t="s">
        <v>246</v>
      </c>
      <c r="D6" s="26" t="s">
        <v>251</v>
      </c>
      <c r="E6" s="26" t="n">
        <v>15</v>
      </c>
      <c r="F6" s="26" t="n">
        <v>17.3</v>
      </c>
      <c r="G6" s="26" t="n">
        <v>13</v>
      </c>
      <c r="H6" s="26" t="b">
        <f aca="false">FALSE()</f>
        <v>0</v>
      </c>
      <c r="I6" s="26" t="s">
        <v>248</v>
      </c>
      <c r="J6" s="26" t="b">
        <f aca="false">FALSE()</f>
        <v>0</v>
      </c>
      <c r="K6" s="26" t="s">
        <v>249</v>
      </c>
      <c r="L6" s="26" t="n">
        <v>0.5</v>
      </c>
      <c r="M6" s="26" t="n">
        <v>2</v>
      </c>
      <c r="N6" s="26" t="n">
        <v>4</v>
      </c>
    </row>
    <row r="7" customFormat="false" ht="27" hidden="false" customHeight="true" outlineLevel="0" collapsed="false">
      <c r="A7" s="26" t="s">
        <v>256</v>
      </c>
      <c r="B7" s="26" t="s">
        <v>257</v>
      </c>
      <c r="C7" s="26" t="s">
        <v>246</v>
      </c>
      <c r="D7" s="26" t="s">
        <v>247</v>
      </c>
      <c r="E7" s="26" t="n">
        <v>14</v>
      </c>
      <c r="F7" s="26" t="n">
        <v>6.287</v>
      </c>
      <c r="G7" s="26" t="n">
        <v>4.712</v>
      </c>
      <c r="H7" s="26" t="b">
        <f aca="false">FALSE()</f>
        <v>0</v>
      </c>
      <c r="I7" s="26" t="s">
        <v>248</v>
      </c>
      <c r="J7" s="26" t="b">
        <f aca="false">FALSE()</f>
        <v>0</v>
      </c>
      <c r="K7" s="26" t="s">
        <v>249</v>
      </c>
      <c r="L7" s="26" t="n">
        <v>0.4</v>
      </c>
      <c r="M7" s="26" t="n">
        <v>2</v>
      </c>
      <c r="N7" s="26" t="n">
        <v>4</v>
      </c>
    </row>
    <row r="8" customFormat="false" ht="27" hidden="false" customHeight="true" outlineLevel="0" collapsed="false">
      <c r="A8" s="26" t="s">
        <v>258</v>
      </c>
      <c r="B8" s="26" t="s">
        <v>259</v>
      </c>
      <c r="C8" s="26" t="s">
        <v>260</v>
      </c>
      <c r="D8" s="26" t="s">
        <v>20</v>
      </c>
      <c r="E8" s="26" t="n">
        <v>10.27</v>
      </c>
      <c r="F8" s="26" t="n">
        <v>13.2</v>
      </c>
      <c r="G8" s="26" t="n">
        <v>8.8</v>
      </c>
      <c r="H8" s="26" t="b">
        <f aca="false">FALSE()</f>
        <v>0</v>
      </c>
      <c r="I8" s="26" t="s">
        <v>248</v>
      </c>
      <c r="J8" s="26" t="b">
        <f aca="false">FALSE()</f>
        <v>0</v>
      </c>
      <c r="K8" s="26" t="s">
        <v>249</v>
      </c>
      <c r="L8" s="26" t="n">
        <v>0.5</v>
      </c>
      <c r="M8" s="26" t="n">
        <v>1</v>
      </c>
      <c r="N8" s="26" t="n">
        <v>3</v>
      </c>
    </row>
    <row r="9" s="3" customFormat="true" ht="27" hidden="false" customHeight="true" outlineLevel="0" collapsed="false">
      <c r="A9" s="26" t="s">
        <v>261</v>
      </c>
      <c r="B9" s="26" t="s">
        <v>262</v>
      </c>
      <c r="C9" s="26" t="s">
        <v>263</v>
      </c>
      <c r="D9" s="26" t="s">
        <v>20</v>
      </c>
      <c r="E9" s="26" t="n">
        <v>5.5</v>
      </c>
      <c r="F9" s="26" t="n">
        <v>6.3</v>
      </c>
      <c r="G9" s="27" t="n">
        <v>4.7</v>
      </c>
      <c r="H9" s="26" t="b">
        <f aca="false">FALSE()</f>
        <v>0</v>
      </c>
      <c r="I9" s="26" t="s">
        <v>248</v>
      </c>
      <c r="J9" s="26" t="b">
        <f aca="false">FALSE()</f>
        <v>0</v>
      </c>
      <c r="K9" s="26" t="s">
        <v>249</v>
      </c>
      <c r="L9" s="26" t="n">
        <v>0.8</v>
      </c>
      <c r="M9" s="26" t="n">
        <v>3</v>
      </c>
      <c r="N9" s="26" t="n">
        <v>6</v>
      </c>
    </row>
    <row r="10" customFormat="false" ht="27" hidden="false" customHeight="true" outlineLevel="0" collapsed="false">
      <c r="A10" s="26" t="s">
        <v>181</v>
      </c>
      <c r="B10" s="26" t="s">
        <v>34</v>
      </c>
      <c r="C10" s="26" t="s">
        <v>246</v>
      </c>
      <c r="D10" s="26" t="s">
        <v>264</v>
      </c>
      <c r="E10" s="26" t="n">
        <v>5.5</v>
      </c>
      <c r="F10" s="26" t="n">
        <v>13.2</v>
      </c>
      <c r="G10" s="26" t="n">
        <v>7.425</v>
      </c>
      <c r="H10" s="26" t="b">
        <f aca="false">FALSE()</f>
        <v>0</v>
      </c>
      <c r="I10" s="26" t="s">
        <v>248</v>
      </c>
      <c r="J10" s="26" t="b">
        <f aca="false">FALSE()</f>
        <v>0</v>
      </c>
      <c r="K10" s="26" t="s">
        <v>249</v>
      </c>
      <c r="L10" s="26" t="n">
        <v>0.8</v>
      </c>
      <c r="M10" s="26" t="n">
        <v>3</v>
      </c>
      <c r="N10" s="26" t="n">
        <v>6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N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3623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2025-03-23T19:53:00Z</dcterms:modified>
  <cp:revision>231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