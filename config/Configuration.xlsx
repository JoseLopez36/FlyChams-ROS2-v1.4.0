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Head" sheetId="6" state="visible" r:id="rId8"/>
    <sheet name="Window" sheetId="7" state="visible" r:id="rId9"/>
    <sheet name="Drone" sheetId="8" state="visible" r:id="rId10"/>
    <sheet name="Gimbal" sheetId="9" state="visible" r:id="rId11"/>
    <sheet name="Camer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<sst xmlns="http://schemas.openxmlformats.org/spreadsheetml/2006/main" count="326" uniqueCount="195">
  <si>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</si>
  <si>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</si>
  <si>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</si>
  <si>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</si>
  <si>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</si>
  <si>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</si>
  <si>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</si>
  <si>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</si>
  <si>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</si>
  <si>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</si>
  <si>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</si>
  <si>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</si>
  <si>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Default Mission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</si>
  <si>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</si>
  <si>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</si>
  <si>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</si>
  <si>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</si>
  <si>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</si>
  <si>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SimpleFlight</t>
  </si>
  <si>
    <t xml:space="preserve">(13/12/2024)</t>
  </si>
  <si>
    <t xml:space="preserve">(14:30:00)</t>
  </si>
  <si>
    <t xml:space="preserve">X</t>
  </si>
  <si>
    <t xml:space="preserve">MISSION01</t>
  </si>
  <si>
    <t xml:space="preserve">Coastal SAR Mission (Multi-Camera-Tracking)</t>
  </si>
  <si>
    <t xml:space="preserve">ENVIRONMENT01</t>
  </si>
  <si>
    <t xml:space="preserve">GROUP02</t>
  </si>
  <si>
    <t xml:space="preserve">TEAM01</t>
  </si>
  <si>
    <t xml:space="preserve">PX4</t>
  </si>
  <si>
    <t xml:space="preserve">(16:30:00)</t>
  </si>
  <si>
    <t xml:space="preserve">MISSION02</t>
  </si>
  <si>
    <t xml:space="preserve">Coastal SAR Mission (Multi-Window-Tracking)</t>
  </si>
  <si>
    <t xml:space="preserve">TEAM02</t>
  </si>
  <si>
    <t xml:space="preserve">Geopoint</t>
  </si>
  <si>
    <t xml:space="preserve">WindVel [m/s]</t>
  </si>
  <si>
    <t xml:space="preserve">Default Environment</t>
  </si>
  <si>
    <t xml:space="preserve">(lat=35.9865559, lon=-5.8930106, alt=8.54)</t>
  </si>
  <si>
    <t xml:space="preserve">(Vx=0.0, Vy=0.0, Vz=0.0)</t>
  </si>
  <si>
    <t xml:space="preserve">Coastal Environment</t>
  </si>
  <si>
    <t xml:space="preserve">(Vx=3.0, Vy=1.5, Vz=0.3)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</si>
  <si>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</si>
  <si>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</si>
  <si>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</si>
  <si>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</si>
  <si>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</si>
  <si>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Default Target</t>
  </si>
  <si>
    <t xml:space="preserve">Human</t>
  </si>
  <si>
    <t xml:space="preserve">High</t>
  </si>
  <si>
    <t xml:space="preserve">LowSpeedLowDispersion8</t>
  </si>
  <si>
    <t xml:space="preserve">TARGET01</t>
  </si>
  <si>
    <t xml:space="preserve">Slow, High Dispersion, 16 Humans</t>
  </si>
  <si>
    <t xml:space="preserve">GROUP01</t>
  </si>
  <si>
    <t xml:space="preserve">MetaHuman</t>
  </si>
  <si>
    <t xml:space="preserve">TARGET02</t>
  </si>
  <si>
    <t xml:space="preserve">Slow, Low Dispersion, 12 Humans</t>
  </si>
  <si>
    <t xml:space="preserve">MedSpeedHighDispersion8</t>
  </si>
  <si>
    <t xml:space="preserve">AGENT CONFIGURATION</t>
  </si>
  <si>
    <t xml:space="preserve">TrackingID</t>
  </si>
  <si>
    <t xml:space="preserve">HeadSetID</t>
  </si>
  <si>
    <t xml:space="preserve">WindowSetID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</si>
  <si>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</si>
  <si>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</si>
  <si>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</si>
  <si>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</si>
  <si>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</si>
  <si>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</si>
  <si>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</si>
  <si>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Default Agent</t>
  </si>
  <si>
    <t xml:space="preserve">TRACKING00</t>
  </si>
  <si>
    <t xml:space="preserve">HEADSET00</t>
  </si>
  <si>
    <t xml:space="preserve">-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</si>
  <si>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</si>
  <si>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</si>
  <si>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</si>
  <si>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</si>
  <si>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Multi-Camera-Tracking Agent</t>
  </si>
  <si>
    <t xml:space="preserve">HEADSET01</t>
  </si>
  <si>
    <t xml:space="preserve">DRONE01</t>
  </si>
  <si>
    <t xml:space="preserve">AGENT02</t>
  </si>
  <si>
    <t xml:space="preserve">Multi-Window-Tracking Agent</t>
  </si>
  <si>
    <t xml:space="preserve">TRACKING01</t>
  </si>
  <si>
    <t xml:space="preserve">HEADSET02</t>
  </si>
  <si>
    <t xml:space="preserve">WINDOWSET00</t>
  </si>
  <si>
    <t xml:space="preserve">Mode</t>
  </si>
  <si>
    <t xml:space="preserve">MinTargetSize</t>
  </si>
  <si>
    <t xml:space="preserve">MaxTargetSize</t>
  </si>
  <si>
    <t xml:space="preserve">RefTargetSize</t>
  </si>
  <si>
    <t xml:space="preserve">Default Camera Tracking</t>
  </si>
  <si>
    <t xml:space="preserve">MultiCamera</t>
  </si>
  <si>
    <t xml:space="preserve">Default Window Tracking</t>
  </si>
  <si>
    <t xml:space="preserve">MultiWindow</t>
  </si>
  <si>
    <t xml:space="preserve">GimbalID</t>
  </si>
  <si>
    <t xml:space="preserve">CameraID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</si>
  <si>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</si>
  <si>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</si>
  <si>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</si>
  <si>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</si>
  <si>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HEAD00</t>
  </si>
  <si>
    <t xml:space="preserve">Default Head</t>
  </si>
  <si>
    <t xml:space="preserve">GIM00</t>
  </si>
  <si>
    <t xml:space="preserve">CAM00</t>
  </si>
  <si>
    <t xml:space="preserve">Tracking</t>
  </si>
  <si>
    <t xml:space="preserve">(X=0.0, Y=0.0, Z=-0.15)</t>
  </si>
  <si>
    <t xml:space="preserve">(Roll=0.0, Pitch=90.0, Yaw=0.0)</t>
  </si>
  <si>
    <t xml:space="preserve">HEAD01</t>
  </si>
  <si>
    <t xml:space="preserve">Multi-Camera Central Head</t>
  </si>
  <si>
    <t xml:space="preserve">CAM02</t>
  </si>
  <si>
    <t xml:space="preserve">Central</t>
  </si>
  <si>
    <t xml:space="preserve">(Roll=0.0, Pitch=90.0, Yaw=90.0)</t>
  </si>
  <si>
    <t xml:space="preserve">HEAD02</t>
  </si>
  <si>
    <t xml:space="preserve">Multi-Camera Tracking Head 1</t>
  </si>
  <si>
    <t xml:space="preserve">CAM01</t>
  </si>
  <si>
    <t xml:space="preserve">(X=0.3, Y=0.0, Z=-0.15)</t>
  </si>
  <si>
    <t xml:space="preserve">HEAD03</t>
  </si>
  <si>
    <t xml:space="preserve">Multi-Camera Tracking Head 2</t>
  </si>
  <si>
    <t xml:space="preserve">(X=0.0, Y=0.3, Z=-0.15)</t>
  </si>
  <si>
    <t xml:space="preserve">HEAD04</t>
  </si>
  <si>
    <t xml:space="preserve">Multi-Camera Tracking Head 3</t>
  </si>
  <si>
    <t xml:space="preserve">(X=-0.3, Y=0.0, Z=-0.15)</t>
  </si>
  <si>
    <t xml:space="preserve">(Roll=0.0, Pitch=90.0, Yaw=180.0)</t>
  </si>
  <si>
    <t xml:space="preserve">HEAD05</t>
  </si>
  <si>
    <t xml:space="preserve">Multi-Camera Tracking Head 4</t>
  </si>
  <si>
    <t xml:space="preserve">(X=0.0, Y=-0.3, Z=-0.15)</t>
  </si>
  <si>
    <t xml:space="preserve">(Roll=0.0, Pitch=90.0, Yaw=270.0)</t>
  </si>
  <si>
    <t xml:space="preserve">HEAD06</t>
  </si>
  <si>
    <t xml:space="preserve">Multi-Window Central Head</t>
  </si>
  <si>
    <t xml:space="preserve">CAM03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</si>
  <si>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</si>
  <si>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</si>
  <si>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</si>
  <si>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</si>
  <si>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WINDOW00</t>
  </si>
  <si>
    <t xml:space="preserve">Multi-Window Central Window</t>
  </si>
  <si>
    <t xml:space="preserve">(1280x720)</t>
  </si>
  <si>
    <t xml:space="preserve">WINDOW01</t>
  </si>
  <si>
    <t xml:space="preserve">Multi-Window Tracking Window 1</t>
  </si>
  <si>
    <t xml:space="preserve">(240x135)</t>
  </si>
  <si>
    <t xml:space="preserve">WINDOW02</t>
  </si>
  <si>
    <t xml:space="preserve">Multi-Window Tracking Window 2</t>
  </si>
  <si>
    <t xml:space="preserve">WINDOW03</t>
  </si>
  <si>
    <t xml:space="preserve">Multi-Window Tracking Window 3</t>
  </si>
  <si>
    <t xml:space="preserve">WINDOW04</t>
  </si>
  <si>
    <t xml:space="preserve">Multi-Window Tracking Window 4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</si>
  <si>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</si>
  <si>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</si>
  <si>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</si>
  <si>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</si>
  <si>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</si>
  <si>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</si>
  <si>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</si>
  <si>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</si>
  <si>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</si>
  <si>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</si>
  <si>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</si>
  <si>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</si>
  <si>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</si>
  <si>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</si>
  <si>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</si>
  <si>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</si>
  <si>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Default Drone</t>
  </si>
  <si>
    <t xml:space="preserve">Quadcopter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</si>
  <si>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</si>
  <si>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</si>
  <si>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</si>
  <si>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</si>
  <si>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DJI S900</t>
  </si>
  <si>
    <t xml:space="preserve">Hexacopter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</si>
  <si>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</si>
  <si>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</si>
  <si>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</si>
  <si>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</si>
  <si>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</si>
  <si>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</si>
  <si>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Weight [kg]</t>
  </si>
  <si>
    <t xml:space="preserve">IdlePower [W]</t>
  </si>
  <si>
    <t xml:space="preserve">ActivePower [W]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</si>
  <si>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</si>
  <si>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</si>
  <si>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</si>
  <si>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</si>
  <si>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</si>
  <si>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</si>
  <si>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</si>
  <si>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</si>
  <si>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Default Camera</t>
  </si>
  <si>
    <t xml:space="preserve">RGB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</si>
  <si>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</si>
  <si>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</si>
  <si>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</si>
  <si>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Mavic 2 Pro (Mod. Zoom)</t>
  </si>
  <si>
    <t xml:space="preserve">(1920x1080)</t>
  </si>
  <si>
    <t xml:space="preserve">Raspberry Pi Camera HQ Lens 2.8 12mm</t>
  </si>
  <si>
    <t xml:space="preserve">(2560x1440)</t>
  </si>
  <si>
    <t xml:space="preserve">(6.287x3.536)</t>
  </si>
  <si>
    <t xml:space="preserve">Ultra-High-Resolution Camera</t>
  </si>
  <si>
    <t xml:space="preserve">(7680x4320)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</si>
</sst>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  <font>
      <b val="true"/>
      <sz val="16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CCFFFF"/>
      </patternFill>
    </fill>
    <fill>
      <patternFill patternType="solid">
        <fgColor theme="9" tint="0.3999"/>
        <bgColor rgb="FF99CCFF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L3" headerRowCount="1" totalsRowCount="0" totalsRowShown="0">
  <autoFilter ref="A2:L3"/>
  <tableColumns count="12">
    <tableColumn id="1" name="ID"/>
    <tableColumn id="2" name="Name"/>
    <tableColumn id="3" name="AgentTeamID"/>
    <tableColumn id="4" name="TrackingID"/>
    <tableColumn id="5" name="HeadSetID"/>
    <tableColumn id="6" name="WindowSetID"/>
    <tableColumn id="7" name="DroneID"/>
    <tableColumn id="8" name="Position [m]"/>
    <tableColumn id="9" name="Orientation [°]"/>
    <tableColumn id="10" name="MaxAltitude [m]"/>
    <tableColumn id="11" name="SafetyRadius [m]"/>
    <tableColumn id="12" name="BatteryCapacity [mAh]"/>
  </tableColumns>
</table>
</file>

<file path=xl/tables/table2.xml><?xml version="1.0" encoding="utf-8"?>
<table xmlns="http://schemas.openxmlformats.org/spreadsheetml/2006/main" id="2" name="Table210" displayName="Table210" ref="A2:J7" headerRowCount="1" totalsRowCount="0" totalsRowShown="0">
  <autoFilter ref="A2:J7"/>
  <tableColumns count="10">
    <tableColumn id="1" name="ID"/>
    <tableColumn id="2" name="Name"/>
    <tableColumn id="3" name="HeadSetID"/>
    <tableColumn id="4" name="GimbalID"/>
    <tableColumn id="5" name="Camera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H7" headerRowCount="1" totalsRowCount="0" totalsRowShown="0">
  <autoFilter ref="A2:H7"/>
  <tableColumns count="8">
    <tableColumn id="1" name="ID"/>
    <tableColumn id="2" name="Name"/>
    <tableColumn id="3" name="WindowSetID"/>
    <tableColumn id="4" name="Role"/>
    <tableColumn id="5" name="Resolution [pix]"/>
    <tableColumn id="6" name="MinLambda"/>
    <tableColumn id="7" name="MaxLambda"/>
    <tableColumn id="8" name="RefLambda"/>
  </tableColumns>
</table>
</file>

<file path=xl/tables/table4.xml><?xml version="1.0" encoding="utf-8"?>
<table xmlns="http://schemas.openxmlformats.org/spreadsheetml/2006/main" id="4" name="Table29" displayName="Table29" ref="A2:K5" headerRowCount="1" totalsRowCount="0" totalsRowShown="0">
  <autoFilter ref="A2:K5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4" headerRowCount="1" totalsRowCount="0" totalsRowShown="0">
  <autoFilter ref="A2:R4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Mode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3" headerRowCount="1" totalsRowCount="0" totalsRowShown="0">
  <autoFilter ref="A2:D3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3" headerRowCount="1" totalsRowCount="0" totalsRowShown="0">
  <autoFilter ref="A2:H3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00390625" defaultRowHeight="21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8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customFormat="false" ht="28.5" hidden="false" customHeight="true" outlineLevel="0" collapsed="false">
      <c r="A3" s="8"/>
      <c r="B3" s="9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9" t="s">
        <v>19</v>
      </c>
      <c r="K3" s="9" t="s">
        <v>20</v>
      </c>
    </row>
    <row r="4" s="3" customFormat="true" ht="27" hidden="false" customHeight="true" outlineLevel="0" collapsed="false">
      <c r="A4" s="11" t="s">
        <v>21</v>
      </c>
      <c r="B4" s="9" t="s">
        <v>22</v>
      </c>
      <c r="C4" s="12" t="s">
        <v>23</v>
      </c>
      <c r="D4" s="9" t="s">
        <v>24</v>
      </c>
      <c r="E4" s="9" t="s">
        <v>25</v>
      </c>
      <c r="F4" s="10" t="s">
        <v>26</v>
      </c>
      <c r="G4" s="10" t="s">
        <v>16</v>
      </c>
      <c r="H4" s="10" t="s">
        <v>17</v>
      </c>
      <c r="I4" s="10" t="s">
        <v>27</v>
      </c>
      <c r="J4" s="9" t="s">
        <v>19</v>
      </c>
      <c r="K4" s="9" t="s">
        <v>28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</row>
    <row r="5" s="3" customFormat="true" ht="27" hidden="false" customHeight="true" outlineLevel="0" collapsed="false">
      <c r="A5" s="8"/>
      <c r="B5" s="9" t="s">
        <v>29</v>
      </c>
      <c r="C5" s="12" t="s">
        <v>30</v>
      </c>
      <c r="D5" s="9" t="s">
        <v>24</v>
      </c>
      <c r="E5" s="9" t="s">
        <v>25</v>
      </c>
      <c r="F5" s="10" t="s">
        <v>31</v>
      </c>
      <c r="G5" s="10" t="s">
        <v>16</v>
      </c>
      <c r="H5" s="10" t="s">
        <v>17</v>
      </c>
      <c r="I5" s="10" t="s">
        <v>27</v>
      </c>
      <c r="J5" s="9" t="s">
        <v>19</v>
      </c>
      <c r="K5" s="9" t="s">
        <v>28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</row>
    <row r="6" customFormat="false" ht="22.5" hidden="false" customHeight="true" outlineLevel="0" collapsed="false">
      <c r="G6" s="14"/>
      <c r="H6" s="14"/>
    </row>
    <row r="7" customFormat="false" ht="22.5" hidden="false" customHeight="true" outlineLevel="0" collapsed="false">
      <c r="G7" s="14"/>
      <c r="H7" s="14"/>
    </row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3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5" t="s">
        <v>0</v>
      </c>
      <c r="B1" s="15"/>
      <c r="C1" s="15"/>
      <c r="D1" s="15"/>
      <c r="E1" s="13"/>
      <c r="XFB1" s="3"/>
      <c r="XFC1" s="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32</v>
      </c>
      <c r="D2" s="5" t="s">
        <v>33</v>
      </c>
    </row>
    <row r="3" customFormat="false" ht="28.5" hidden="false" customHeight="true" outlineLevel="0" collapsed="false">
      <c r="A3" s="9" t="s">
        <v>13</v>
      </c>
      <c r="B3" s="9" t="s">
        <v>34</v>
      </c>
      <c r="C3" s="9" t="s">
        <v>35</v>
      </c>
      <c r="D3" s="16" t="s">
        <v>36</v>
      </c>
    </row>
    <row r="4" customFormat="false" ht="28.5" hidden="false" customHeight="true" outlineLevel="0" collapsed="false">
      <c r="A4" s="9" t="s">
        <v>24</v>
      </c>
      <c r="B4" s="9" t="s">
        <v>37</v>
      </c>
      <c r="C4" s="9" t="s">
        <v>35</v>
      </c>
      <c r="D4" s="16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5" t="s">
        <v>0</v>
      </c>
      <c r="B1" s="15"/>
      <c r="C1" s="15"/>
      <c r="D1" s="15"/>
      <c r="E1" s="15"/>
      <c r="F1" s="15"/>
      <c r="G1" s="15"/>
    </row>
    <row r="2" s="7" customFormat="tru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39</v>
      </c>
      <c r="E2" s="5" t="s">
        <v>40</v>
      </c>
      <c r="F2" s="5" t="s">
        <v>41</v>
      </c>
      <c r="G2" s="5" t="s">
        <v>42</v>
      </c>
      <c r="BM2" s="3"/>
    </row>
    <row r="3" customFormat="false" ht="27" hidden="false" customHeight="true" outlineLevel="0" collapsed="false">
      <c r="A3" s="9" t="s">
        <v>43</v>
      </c>
      <c r="B3" s="9" t="s">
        <v>44</v>
      </c>
      <c r="C3" s="9" t="s">
        <v>14</v>
      </c>
      <c r="D3" s="9" t="s">
        <v>45</v>
      </c>
      <c r="E3" s="17" t="n">
        <v>16</v>
      </c>
      <c r="F3" s="9" t="s">
        <v>46</v>
      </c>
      <c r="G3" s="9" t="s">
        <v>47</v>
      </c>
    </row>
    <row r="4" customFormat="false" ht="27" hidden="false" customHeight="true" outlineLevel="0" collapsed="false">
      <c r="A4" s="9" t="s">
        <v>48</v>
      </c>
      <c r="B4" s="9" t="s">
        <v>49</v>
      </c>
      <c r="C4" s="9" t="s">
        <v>50</v>
      </c>
      <c r="D4" s="9" t="s">
        <v>51</v>
      </c>
      <c r="E4" s="17" t="n">
        <v>16</v>
      </c>
      <c r="F4" s="9" t="s">
        <v>46</v>
      </c>
      <c r="G4" s="9" t="s">
        <v>47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3"/>
    </row>
    <row r="5" customFormat="false" ht="27" hidden="false" customHeight="true" outlineLevel="0" collapsed="false">
      <c r="A5" s="9" t="s">
        <v>52</v>
      </c>
      <c r="B5" s="9" t="s">
        <v>53</v>
      </c>
      <c r="C5" s="9" t="s">
        <v>25</v>
      </c>
      <c r="D5" s="9" t="s">
        <v>51</v>
      </c>
      <c r="E5" s="17" t="n">
        <v>8</v>
      </c>
      <c r="F5" s="9" t="s">
        <v>46</v>
      </c>
      <c r="G5" s="9" t="s">
        <v>54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3"/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F14" activeCellId="0" sqref="F14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3" width="38.28"/>
    <col collapsed="false" customWidth="true" hidden="false" outlineLevel="0" max="3" min="3" style="2" width="26.66"/>
    <col collapsed="false" customWidth="true" hidden="false" outlineLevel="0" max="6" min="4" style="13" width="26.66"/>
    <col collapsed="false" customWidth="true" hidden="false" outlineLevel="0" max="7" min="7" style="2" width="26.66"/>
    <col collapsed="false" customWidth="true" hidden="false" outlineLevel="0" max="8" min="8" style="2" width="29.22"/>
    <col collapsed="false" customWidth="true" hidden="false" outlineLevel="0" max="9" min="9" style="2" width="36.42"/>
    <col collapsed="false" customWidth="true" hidden="false" outlineLevel="0" max="11" min="10" style="2" width="26.66"/>
    <col collapsed="false" customWidth="true" hidden="false" outlineLevel="0" max="12" min="12" style="2" width="29.88"/>
    <col collapsed="false" customWidth="true" hidden="false" outlineLevel="0" max="13" min="13" style="2" width="26.66"/>
    <col collapsed="false" customWidth="false" hidden="false" outlineLevel="0" max="18" min="14" style="13" width="11"/>
    <col collapsed="false" customWidth="false" hidden="false" outlineLevel="0" max="16381" min="19" style="2" width="11"/>
    <col collapsed="false" customWidth="true" hidden="false" outlineLevel="0" max="16384" min="16382" style="2" width="10.49"/>
  </cols>
  <sheetData>
    <row r="1" customFormat="false" ht="54" hidden="false" customHeight="true" outlineLevel="0" collapsed="false">
      <c r="A1" s="18" t="s">
        <v>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="7" customFormat="true" ht="40.5" hidden="false" customHeight="true" outlineLevel="0" collapsed="false">
      <c r="A2" s="19" t="s">
        <v>1</v>
      </c>
      <c r="B2" s="19" t="s">
        <v>2</v>
      </c>
      <c r="C2" s="19" t="s">
        <v>5</v>
      </c>
      <c r="D2" s="19" t="s">
        <v>56</v>
      </c>
      <c r="E2" s="19" t="s">
        <v>57</v>
      </c>
      <c r="F2" s="19" t="s">
        <v>58</v>
      </c>
      <c r="G2" s="19" t="s">
        <v>59</v>
      </c>
      <c r="H2" s="19" t="s">
        <v>60</v>
      </c>
      <c r="I2" s="19" t="s">
        <v>61</v>
      </c>
      <c r="J2" s="19" t="s">
        <v>62</v>
      </c>
      <c r="K2" s="19" t="s">
        <v>63</v>
      </c>
      <c r="L2" s="19" t="s">
        <v>64</v>
      </c>
      <c r="N2" s="13"/>
      <c r="O2" s="13"/>
      <c r="P2" s="13"/>
      <c r="Q2" s="13"/>
      <c r="R2" s="13"/>
    </row>
    <row r="3" s="3" customFormat="true" ht="27" hidden="false" customHeight="true" outlineLevel="0" collapsed="false">
      <c r="A3" s="20" t="s">
        <v>65</v>
      </c>
      <c r="B3" s="20" t="s">
        <v>66</v>
      </c>
      <c r="C3" s="20" t="s">
        <v>15</v>
      </c>
      <c r="D3" s="20" t="s">
        <v>67</v>
      </c>
      <c r="E3" s="20" t="s">
        <v>68</v>
      </c>
      <c r="F3" s="20" t="s">
        <v>69</v>
      </c>
      <c r="G3" s="20" t="s">
        <v>70</v>
      </c>
      <c r="H3" s="20" t="s">
        <v>71</v>
      </c>
      <c r="I3" s="20" t="s">
        <v>72</v>
      </c>
      <c r="J3" s="20" t="n">
        <v>300</v>
      </c>
      <c r="K3" s="20" t="n">
        <v>3</v>
      </c>
      <c r="L3" s="20" t="n">
        <v>12000</v>
      </c>
      <c r="M3" s="2"/>
      <c r="N3" s="13"/>
      <c r="O3" s="13"/>
      <c r="P3" s="13"/>
      <c r="Q3" s="13"/>
      <c r="R3" s="13"/>
      <c r="S3" s="13"/>
      <c r="T3" s="13"/>
      <c r="XFB3" s="2"/>
      <c r="XFC3" s="2"/>
      <c r="XFD3" s="2"/>
    </row>
    <row r="4" customFormat="false" ht="27" hidden="false" customHeight="true" outlineLevel="0" collapsed="false">
      <c r="A4" s="20" t="s">
        <v>73</v>
      </c>
      <c r="B4" s="20" t="s">
        <v>74</v>
      </c>
      <c r="C4" s="20" t="s">
        <v>26</v>
      </c>
      <c r="D4" s="20" t="s">
        <v>67</v>
      </c>
      <c r="E4" s="20" t="s">
        <v>75</v>
      </c>
      <c r="F4" s="20" t="s">
        <v>69</v>
      </c>
      <c r="G4" s="20" t="s">
        <v>76</v>
      </c>
      <c r="H4" s="20" t="s">
        <v>71</v>
      </c>
      <c r="I4" s="20" t="s">
        <v>72</v>
      </c>
      <c r="J4" s="20" t="n">
        <v>300</v>
      </c>
      <c r="K4" s="20" t="n">
        <v>3</v>
      </c>
      <c r="L4" s="20" t="n">
        <v>12000</v>
      </c>
    </row>
    <row r="5" customFormat="false" ht="27" hidden="false" customHeight="true" outlineLevel="0" collapsed="false">
      <c r="A5" s="20" t="s">
        <v>77</v>
      </c>
      <c r="B5" s="20" t="s">
        <v>78</v>
      </c>
      <c r="C5" s="20" t="s">
        <v>31</v>
      </c>
      <c r="D5" s="20" t="s">
        <v>79</v>
      </c>
      <c r="E5" s="20" t="s">
        <v>80</v>
      </c>
      <c r="F5" s="20" t="s">
        <v>81</v>
      </c>
      <c r="G5" s="20" t="s">
        <v>76</v>
      </c>
      <c r="H5" s="20" t="s">
        <v>71</v>
      </c>
      <c r="I5" s="20" t="s">
        <v>72</v>
      </c>
      <c r="J5" s="20" t="n">
        <v>300</v>
      </c>
      <c r="K5" s="20" t="n">
        <v>3</v>
      </c>
      <c r="L5" s="20" t="n">
        <v>12000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3" width="38.28"/>
    <col collapsed="false" customWidth="true" hidden="false" outlineLevel="0" max="4" min="3" style="13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3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84" min="16379" style="3" width="10.49"/>
  </cols>
  <sheetData>
    <row r="1" customFormat="false" ht="54" hidden="false" customHeight="true" outlineLevel="0" collapsed="false">
      <c r="A1" s="18" t="s">
        <v>55</v>
      </c>
      <c r="B1" s="18"/>
      <c r="C1" s="18"/>
      <c r="D1" s="18"/>
      <c r="E1" s="18"/>
      <c r="F1" s="18"/>
    </row>
    <row r="2" s="7" customFormat="true" ht="40.5" hidden="false" customHeight="true" outlineLevel="0" collapsed="false">
      <c r="A2" s="19" t="s">
        <v>1</v>
      </c>
      <c r="B2" s="19" t="s">
        <v>2</v>
      </c>
      <c r="C2" s="19" t="s">
        <v>82</v>
      </c>
      <c r="D2" s="19" t="s">
        <v>83</v>
      </c>
      <c r="E2" s="19" t="s">
        <v>84</v>
      </c>
      <c r="F2" s="19" t="s">
        <v>85</v>
      </c>
      <c r="H2" s="13"/>
      <c r="I2" s="13"/>
      <c r="J2" s="13"/>
      <c r="K2" s="13"/>
      <c r="L2" s="13"/>
      <c r="XEY2" s="3"/>
      <c r="XEZ2" s="3"/>
      <c r="XFA2" s="3"/>
      <c r="XFB2" s="3"/>
      <c r="XFC2" s="3"/>
      <c r="XFD2" s="3"/>
    </row>
    <row r="3" s="3" customFormat="true" ht="27" hidden="false" customHeight="true" outlineLevel="0" collapsed="false">
      <c r="A3" s="20" t="s">
        <v>67</v>
      </c>
      <c r="B3" s="20" t="s">
        <v>86</v>
      </c>
      <c r="C3" s="20" t="s">
        <v>87</v>
      </c>
      <c r="D3" s="20" t="n">
        <v>0.2</v>
      </c>
      <c r="E3" s="20" t="n">
        <v>0.9</v>
      </c>
      <c r="F3" s="20" t="n">
        <v>0.8</v>
      </c>
      <c r="G3" s="2"/>
      <c r="H3" s="13"/>
      <c r="I3" s="13"/>
      <c r="J3" s="13"/>
      <c r="K3" s="13"/>
      <c r="L3" s="13"/>
      <c r="M3" s="13"/>
      <c r="N3" s="13"/>
      <c r="XEV3" s="2"/>
      <c r="XEW3" s="2"/>
      <c r="XEX3" s="2"/>
    </row>
    <row r="4" s="3" customFormat="true" ht="27" hidden="false" customHeight="true" outlineLevel="0" collapsed="false">
      <c r="A4" s="20" t="s">
        <v>79</v>
      </c>
      <c r="B4" s="20" t="s">
        <v>88</v>
      </c>
      <c r="C4" s="20" t="s">
        <v>89</v>
      </c>
      <c r="D4" s="20" t="n">
        <v>0.2</v>
      </c>
      <c r="E4" s="20" t="n">
        <v>0.9</v>
      </c>
      <c r="F4" s="20" t="n">
        <v>0.8</v>
      </c>
      <c r="G4" s="2"/>
      <c r="H4" s="13"/>
      <c r="I4" s="13"/>
      <c r="J4" s="13"/>
      <c r="K4" s="13"/>
      <c r="L4" s="13"/>
      <c r="M4" s="13"/>
      <c r="N4" s="13"/>
      <c r="XEV4" s="2"/>
      <c r="XEW4" s="2"/>
      <c r="XEX4" s="2"/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38.97"/>
    <col collapsed="false" customWidth="true" hidden="false" outlineLevel="0" max="5" min="3" style="2" width="27.34"/>
    <col collapsed="false" customWidth="true" hidden="false" outlineLevel="0" max="7" min="6" style="13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3" min="13" style="13" width="11"/>
    <col collapsed="false" customWidth="false" hidden="false" outlineLevel="0" max="16383" min="15" style="2" width="11"/>
    <col collapsed="false" customWidth="true" hidden="false" outlineLevel="0" max="16384" min="16384" style="3" width="10.49"/>
  </cols>
  <sheetData>
    <row r="1" customFormat="false" ht="54" hidden="false" customHeight="true" outlineLevel="0" collapsed="false">
      <c r="A1" s="18" t="s">
        <v>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2"/>
    </row>
    <row r="2" s="7" customFormat="true" ht="40.5" hidden="false" customHeight="true" outlineLevel="0" collapsed="false">
      <c r="A2" s="19" t="s">
        <v>1</v>
      </c>
      <c r="B2" s="19" t="s">
        <v>2</v>
      </c>
      <c r="C2" s="19" t="s">
        <v>57</v>
      </c>
      <c r="D2" s="19" t="s">
        <v>90</v>
      </c>
      <c r="E2" s="19" t="s">
        <v>91</v>
      </c>
      <c r="F2" s="19" t="s">
        <v>92</v>
      </c>
      <c r="G2" s="19" t="s">
        <v>60</v>
      </c>
      <c r="H2" s="19" t="s">
        <v>61</v>
      </c>
      <c r="I2" s="19" t="s">
        <v>93</v>
      </c>
      <c r="J2" s="19" t="s">
        <v>94</v>
      </c>
      <c r="K2" s="19" t="s">
        <v>95</v>
      </c>
      <c r="M2" s="13"/>
      <c r="N2" s="3"/>
      <c r="XFD2" s="3"/>
    </row>
    <row r="3" customFormat="false" ht="27" hidden="false" customHeight="true" outlineLevel="0" collapsed="false">
      <c r="A3" s="20" t="s">
        <v>96</v>
      </c>
      <c r="B3" s="20" t="s">
        <v>97</v>
      </c>
      <c r="C3" s="20" t="s">
        <v>68</v>
      </c>
      <c r="D3" s="20" t="s">
        <v>98</v>
      </c>
      <c r="E3" s="20" t="s">
        <v>99</v>
      </c>
      <c r="F3" s="20" t="s">
        <v>100</v>
      </c>
      <c r="G3" s="20" t="s">
        <v>101</v>
      </c>
      <c r="H3" s="20" t="s">
        <v>102</v>
      </c>
      <c r="I3" s="20" t="n">
        <v>8</v>
      </c>
      <c r="J3" s="20" t="n">
        <v>40</v>
      </c>
      <c r="K3" s="20" t="n">
        <v>10</v>
      </c>
      <c r="L3" s="2"/>
    </row>
    <row r="4" customFormat="false" ht="27" hidden="false" customHeight="true" outlineLevel="0" collapsed="false">
      <c r="A4" s="20" t="s">
        <v>103</v>
      </c>
      <c r="B4" s="20" t="s">
        <v>104</v>
      </c>
      <c r="C4" s="20" t="s">
        <v>75</v>
      </c>
      <c r="D4" s="20" t="s">
        <v>98</v>
      </c>
      <c r="E4" s="20" t="s">
        <v>105</v>
      </c>
      <c r="F4" s="20" t="s">
        <v>106</v>
      </c>
      <c r="G4" s="20" t="s">
        <v>101</v>
      </c>
      <c r="H4" s="20" t="s">
        <v>107</v>
      </c>
      <c r="I4" s="20" t="n">
        <v>3</v>
      </c>
      <c r="J4" s="20" t="n">
        <v>3</v>
      </c>
      <c r="K4" s="20" t="n">
        <v>1</v>
      </c>
      <c r="L4" s="2"/>
    </row>
    <row r="5" customFormat="false" ht="27" hidden="false" customHeight="true" outlineLevel="0" collapsed="false">
      <c r="A5" s="20" t="s">
        <v>108</v>
      </c>
      <c r="B5" s="20" t="s">
        <v>109</v>
      </c>
      <c r="C5" s="20" t="s">
        <v>75</v>
      </c>
      <c r="D5" s="20" t="s">
        <v>98</v>
      </c>
      <c r="E5" s="20" t="s">
        <v>110</v>
      </c>
      <c r="F5" s="20" t="s">
        <v>100</v>
      </c>
      <c r="G5" s="20" t="s">
        <v>111</v>
      </c>
      <c r="H5" s="20" t="s">
        <v>102</v>
      </c>
      <c r="I5" s="20" t="n">
        <v>8</v>
      </c>
      <c r="J5" s="20" t="n">
        <v>40</v>
      </c>
      <c r="K5" s="20" t="n">
        <v>10</v>
      </c>
      <c r="L5" s="2"/>
    </row>
    <row r="6" customFormat="false" ht="27" hidden="false" customHeight="true" outlineLevel="0" collapsed="false">
      <c r="A6" s="20" t="s">
        <v>112</v>
      </c>
      <c r="B6" s="20" t="s">
        <v>113</v>
      </c>
      <c r="C6" s="20" t="s">
        <v>75</v>
      </c>
      <c r="D6" s="20" t="s">
        <v>98</v>
      </c>
      <c r="E6" s="20" t="s">
        <v>110</v>
      </c>
      <c r="F6" s="20" t="s">
        <v>100</v>
      </c>
      <c r="G6" s="20" t="s">
        <v>114</v>
      </c>
      <c r="H6" s="20" t="s">
        <v>107</v>
      </c>
      <c r="I6" s="20" t="n">
        <v>8</v>
      </c>
      <c r="J6" s="20" t="n">
        <v>40</v>
      </c>
      <c r="K6" s="20" t="n">
        <v>10</v>
      </c>
      <c r="L6" s="2"/>
    </row>
    <row r="7" customFormat="false" ht="27" hidden="false" customHeight="true" outlineLevel="0" collapsed="false">
      <c r="A7" s="20" t="s">
        <v>115</v>
      </c>
      <c r="B7" s="20" t="s">
        <v>116</v>
      </c>
      <c r="C7" s="20" t="s">
        <v>75</v>
      </c>
      <c r="D7" s="20" t="s">
        <v>98</v>
      </c>
      <c r="E7" s="20" t="s">
        <v>110</v>
      </c>
      <c r="F7" s="20" t="s">
        <v>100</v>
      </c>
      <c r="G7" s="20" t="s">
        <v>117</v>
      </c>
      <c r="H7" s="20" t="s">
        <v>118</v>
      </c>
      <c r="I7" s="20" t="n">
        <v>8</v>
      </c>
      <c r="J7" s="20" t="n">
        <v>40</v>
      </c>
      <c r="K7" s="20" t="n">
        <v>10</v>
      </c>
      <c r="L7" s="2"/>
    </row>
    <row r="8" s="3" customFormat="true" ht="27" hidden="false" customHeight="true" outlineLevel="0" collapsed="false">
      <c r="A8" s="20" t="s">
        <v>119</v>
      </c>
      <c r="B8" s="20" t="s">
        <v>120</v>
      </c>
      <c r="C8" s="20" t="s">
        <v>75</v>
      </c>
      <c r="D8" s="20" t="s">
        <v>98</v>
      </c>
      <c r="E8" s="20" t="s">
        <v>110</v>
      </c>
      <c r="F8" s="20" t="s">
        <v>100</v>
      </c>
      <c r="G8" s="20" t="s">
        <v>121</v>
      </c>
      <c r="H8" s="20" t="s">
        <v>122</v>
      </c>
      <c r="I8" s="20" t="n">
        <v>8</v>
      </c>
      <c r="J8" s="20" t="n">
        <v>40</v>
      </c>
      <c r="K8" s="20" t="n">
        <v>10</v>
      </c>
      <c r="L8" s="2"/>
      <c r="M8" s="13"/>
    </row>
    <row r="9" s="3" customFormat="true" ht="27" hidden="false" customHeight="true" outlineLevel="0" collapsed="false">
      <c r="A9" s="20" t="s">
        <v>123</v>
      </c>
      <c r="B9" s="20" t="s">
        <v>124</v>
      </c>
      <c r="C9" s="20" t="s">
        <v>80</v>
      </c>
      <c r="D9" s="20" t="s">
        <v>98</v>
      </c>
      <c r="E9" s="20" t="s">
        <v>125</v>
      </c>
      <c r="F9" s="20" t="s">
        <v>106</v>
      </c>
      <c r="G9" s="20" t="s">
        <v>101</v>
      </c>
      <c r="H9" s="20" t="s">
        <v>107</v>
      </c>
      <c r="I9" s="20" t="n">
        <v>3</v>
      </c>
      <c r="J9" s="20" t="n">
        <v>3</v>
      </c>
      <c r="K9" s="20" t="n">
        <v>3</v>
      </c>
      <c r="L9" s="2"/>
      <c r="M9" s="13"/>
    </row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38.97"/>
    <col collapsed="false" customWidth="true" hidden="false" outlineLevel="0" max="3" min="3" style="2" width="27.34"/>
    <col collapsed="false" customWidth="true" hidden="false" outlineLevel="0" max="5" min="4" style="13" width="27.34"/>
    <col collapsed="false" customWidth="true" hidden="false" outlineLevel="0" max="7" min="6" style="2" width="27.34"/>
    <col collapsed="false" customWidth="true" hidden="false" outlineLevel="0" max="8" min="8" style="13" width="27.34"/>
    <col collapsed="false" customWidth="false" hidden="false" outlineLevel="0" max="16376" min="9" style="2" width="11"/>
    <col collapsed="false" customWidth="true" hidden="false" outlineLevel="0" max="16384" min="16377" style="3" width="10.49"/>
  </cols>
  <sheetData>
    <row r="1" customFormat="false" ht="54" hidden="false" customHeight="true" outlineLevel="0" collapsed="false">
      <c r="A1" s="18" t="s">
        <v>55</v>
      </c>
      <c r="B1" s="18"/>
      <c r="C1" s="18"/>
      <c r="D1" s="18"/>
      <c r="E1" s="18"/>
      <c r="F1" s="18"/>
      <c r="G1" s="18"/>
      <c r="H1" s="18"/>
    </row>
    <row r="2" s="7" customFormat="true" ht="40.5" hidden="false" customHeight="true" outlineLevel="0" collapsed="false">
      <c r="A2" s="19" t="s">
        <v>1</v>
      </c>
      <c r="B2" s="19" t="s">
        <v>2</v>
      </c>
      <c r="C2" s="19" t="s">
        <v>58</v>
      </c>
      <c r="D2" s="19" t="s">
        <v>92</v>
      </c>
      <c r="E2" s="19" t="s">
        <v>126</v>
      </c>
      <c r="F2" s="19" t="s">
        <v>127</v>
      </c>
      <c r="G2" s="19" t="s">
        <v>128</v>
      </c>
      <c r="H2" s="19" t="s">
        <v>129</v>
      </c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20" t="s">
        <v>130</v>
      </c>
      <c r="B3" s="20" t="s">
        <v>131</v>
      </c>
      <c r="C3" s="20" t="s">
        <v>81</v>
      </c>
      <c r="D3" s="20" t="s">
        <v>106</v>
      </c>
      <c r="E3" s="20" t="s">
        <v>132</v>
      </c>
      <c r="F3" s="20" t="n">
        <v>0.167</v>
      </c>
      <c r="G3" s="20" t="n">
        <v>0.167</v>
      </c>
      <c r="H3" s="20" t="n">
        <v>0.167</v>
      </c>
    </row>
    <row r="4" customFormat="false" ht="27" hidden="false" customHeight="true" outlineLevel="0" collapsed="false">
      <c r="A4" s="20" t="s">
        <v>133</v>
      </c>
      <c r="B4" s="20" t="s">
        <v>134</v>
      </c>
      <c r="C4" s="20" t="s">
        <v>81</v>
      </c>
      <c r="D4" s="20" t="s">
        <v>100</v>
      </c>
      <c r="E4" s="20" t="s">
        <v>135</v>
      </c>
      <c r="F4" s="20" t="n">
        <v>0.167</v>
      </c>
      <c r="G4" s="20" t="n">
        <v>1</v>
      </c>
      <c r="H4" s="20" t="n">
        <v>0.583</v>
      </c>
    </row>
    <row r="5" customFormat="false" ht="27" hidden="false" customHeight="true" outlineLevel="0" collapsed="false">
      <c r="A5" s="20" t="s">
        <v>136</v>
      </c>
      <c r="B5" s="20" t="s">
        <v>137</v>
      </c>
      <c r="C5" s="20" t="s">
        <v>81</v>
      </c>
      <c r="D5" s="20" t="s">
        <v>100</v>
      </c>
      <c r="E5" s="20" t="s">
        <v>135</v>
      </c>
      <c r="F5" s="20" t="n">
        <v>0.167</v>
      </c>
      <c r="G5" s="20" t="n">
        <v>1</v>
      </c>
      <c r="H5" s="20" t="n">
        <v>0.583</v>
      </c>
    </row>
    <row r="6" customFormat="false" ht="27" hidden="false" customHeight="true" outlineLevel="0" collapsed="false">
      <c r="A6" s="20" t="s">
        <v>138</v>
      </c>
      <c r="B6" s="20" t="s">
        <v>139</v>
      </c>
      <c r="C6" s="20" t="s">
        <v>81</v>
      </c>
      <c r="D6" s="20" t="s">
        <v>100</v>
      </c>
      <c r="E6" s="20" t="s">
        <v>135</v>
      </c>
      <c r="F6" s="20" t="n">
        <v>0.167</v>
      </c>
      <c r="G6" s="20" t="n">
        <v>1</v>
      </c>
      <c r="H6" s="20" t="n">
        <v>0.583</v>
      </c>
    </row>
    <row r="7" customFormat="false" ht="27" hidden="false" customHeight="true" outlineLevel="0" collapsed="false">
      <c r="A7" s="20" t="s">
        <v>140</v>
      </c>
      <c r="B7" s="20" t="s">
        <v>141</v>
      </c>
      <c r="C7" s="20" t="s">
        <v>81</v>
      </c>
      <c r="D7" s="20" t="s">
        <v>100</v>
      </c>
      <c r="E7" s="20" t="s">
        <v>135</v>
      </c>
      <c r="F7" s="20" t="n">
        <v>0.167</v>
      </c>
      <c r="G7" s="20" t="n">
        <v>1</v>
      </c>
      <c r="H7" s="20" t="n">
        <v>0.583</v>
      </c>
    </row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4"/>
    <col collapsed="false" customWidth="true" hidden="false" outlineLevel="0" max="7" min="7" style="2" width="35.21"/>
    <col collapsed="false" customWidth="true" hidden="false" outlineLevel="0" max="8" min="8" style="2" width="28.83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3" width="51.08"/>
    <col collapsed="false" customWidth="true" hidden="false" outlineLevel="0" max="12" min="12" style="13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3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1" t="s">
        <v>142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="7" customFormat="true" ht="40.5" hidden="false" customHeight="true" outlineLevel="0" collapsed="false">
      <c r="A2" s="22" t="s">
        <v>1</v>
      </c>
      <c r="B2" s="22" t="s">
        <v>2</v>
      </c>
      <c r="C2" s="22" t="s">
        <v>39</v>
      </c>
      <c r="D2" s="22" t="s">
        <v>143</v>
      </c>
      <c r="E2" s="22" t="s">
        <v>144</v>
      </c>
      <c r="F2" s="22" t="s">
        <v>145</v>
      </c>
      <c r="G2" s="22" t="s">
        <v>146</v>
      </c>
      <c r="H2" s="22" t="s">
        <v>147</v>
      </c>
      <c r="I2" s="22" t="s">
        <v>148</v>
      </c>
      <c r="J2" s="22" t="s">
        <v>149</v>
      </c>
      <c r="K2" s="22" t="s">
        <v>150</v>
      </c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</row>
    <row r="3" customFormat="false" ht="27" hidden="false" customHeight="true" outlineLevel="0" collapsed="false">
      <c r="A3" s="23" t="s">
        <v>70</v>
      </c>
      <c r="B3" s="23" t="s">
        <v>158</v>
      </c>
      <c r="C3" s="23" t="s">
        <v>159</v>
      </c>
      <c r="D3" s="23" t="n">
        <v>10</v>
      </c>
      <c r="E3" s="23" t="n">
        <v>15</v>
      </c>
      <c r="F3" s="23" t="b">
        <f aca="false">TRUE()</f>
        <v>1</v>
      </c>
      <c r="G3" s="23" t="s">
        <v>160</v>
      </c>
      <c r="H3" s="23" t="b">
        <f aca="false">TRUE()</f>
        <v>1</v>
      </c>
      <c r="I3" s="23" t="s">
        <v>161</v>
      </c>
      <c r="J3" s="23" t="b">
        <f aca="false">TRUE()</f>
        <v>1</v>
      </c>
      <c r="K3" s="23" t="s">
        <v>162</v>
      </c>
      <c r="L3" s="23" t="b">
        <f aca="false">TRUE()</f>
        <v>1</v>
      </c>
      <c r="M3" s="23" t="s">
        <v>163</v>
      </c>
      <c r="N3" s="23" t="n">
        <v>4.5</v>
      </c>
      <c r="O3" s="23" t="n">
        <v>1.5</v>
      </c>
      <c r="P3" s="23" t="n">
        <v>250</v>
      </c>
      <c r="Q3" s="23" t="n">
        <v>200</v>
      </c>
      <c r="R3" s="23" t="n">
        <v>20</v>
      </c>
    </row>
    <row r="4" customFormat="false" ht="27" hidden="false" customHeight="true" outlineLevel="0" collapsed="false">
      <c r="A4" s="23" t="s">
        <v>76</v>
      </c>
      <c r="B4" s="23" t="s">
        <v>164</v>
      </c>
      <c r="C4" s="23" t="s">
        <v>165</v>
      </c>
      <c r="D4" s="23" t="n">
        <v>8</v>
      </c>
      <c r="E4" s="23" t="n">
        <v>12</v>
      </c>
      <c r="F4" s="23" t="b">
        <f aca="false">TRUE()</f>
        <v>1</v>
      </c>
      <c r="G4" s="23" t="s">
        <v>160</v>
      </c>
      <c r="H4" s="23" t="b">
        <f aca="false">TRUE()</f>
        <v>1</v>
      </c>
      <c r="I4" s="23" t="s">
        <v>161</v>
      </c>
      <c r="J4" s="23" t="b">
        <f aca="false">TRUE()</f>
        <v>1</v>
      </c>
      <c r="K4" s="23" t="s">
        <v>162</v>
      </c>
      <c r="L4" s="23" t="b">
        <f aca="false">TRUE()</f>
        <v>1</v>
      </c>
      <c r="M4" s="23" t="s">
        <v>163</v>
      </c>
      <c r="N4" s="23" t="n">
        <v>6.5</v>
      </c>
      <c r="O4" s="23" t="n">
        <v>2.5</v>
      </c>
      <c r="P4" s="23" t="n">
        <v>400</v>
      </c>
      <c r="Q4" s="23" t="n">
        <v>350</v>
      </c>
      <c r="R4" s="23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1.00390625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3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1" t="s">
        <v>142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="7" customFormat="true" ht="40.5" hidden="false" customHeight="true" outlineLevel="0" collapsed="false">
      <c r="A2" s="22" t="s">
        <v>1</v>
      </c>
      <c r="B2" s="22" t="s">
        <v>2</v>
      </c>
      <c r="C2" s="22" t="s">
        <v>166</v>
      </c>
      <c r="D2" s="22" t="s">
        <v>167</v>
      </c>
      <c r="E2" s="22" t="s">
        <v>168</v>
      </c>
      <c r="F2" s="22" t="s">
        <v>169</v>
      </c>
      <c r="G2" s="22" t="s">
        <v>170</v>
      </c>
      <c r="H2" s="22" t="s">
        <v>171</v>
      </c>
      <c r="I2" s="22" t="s">
        <v>172</v>
      </c>
      <c r="J2" s="22" t="s">
        <v>173</v>
      </c>
      <c r="K2" s="22" t="s">
        <v>174</v>
      </c>
      <c r="L2" s="13"/>
      <c r="XFD2" s="3"/>
    </row>
    <row r="3" customFormat="false" ht="27" hidden="false" customHeight="true" outlineLevel="0" collapsed="false">
      <c r="A3" s="23" t="s">
        <v>98</v>
      </c>
      <c r="B3" s="23" t="s">
        <v>175</v>
      </c>
      <c r="C3" s="23" t="b">
        <f aca="false">TRUE()</f>
        <v>1</v>
      </c>
      <c r="D3" s="23" t="s">
        <v>176</v>
      </c>
      <c r="E3" s="23" t="b">
        <f aca="false">TRUE()</f>
        <v>1</v>
      </c>
      <c r="F3" s="23" t="s">
        <v>177</v>
      </c>
      <c r="G3" s="23" t="b">
        <f aca="false">TRUE()</f>
        <v>1</v>
      </c>
      <c r="H3" s="23" t="s">
        <v>178</v>
      </c>
      <c r="I3" s="23" t="n">
        <v>0.4</v>
      </c>
      <c r="J3" s="23" t="n">
        <v>5</v>
      </c>
      <c r="K3" s="23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9.22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1" t="s">
        <v>142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="7" customFormat="true" ht="40.5" hidden="false" customHeight="true" outlineLevel="0" collapsed="false">
      <c r="A2" s="22" t="s">
        <v>1</v>
      </c>
      <c r="B2" s="22" t="s">
        <v>2</v>
      </c>
      <c r="C2" s="22" t="s">
        <v>39</v>
      </c>
      <c r="D2" s="22" t="s">
        <v>126</v>
      </c>
      <c r="E2" s="22" t="s">
        <v>179</v>
      </c>
      <c r="F2" s="22" t="s">
        <v>180</v>
      </c>
      <c r="G2" s="22" t="s">
        <v>181</v>
      </c>
      <c r="H2" s="22" t="s">
        <v>182</v>
      </c>
      <c r="I2" s="22" t="s">
        <v>172</v>
      </c>
      <c r="J2" s="22" t="s">
        <v>173</v>
      </c>
      <c r="K2" s="22" t="s">
        <v>174</v>
      </c>
      <c r="XFB2" s="3"/>
      <c r="XFC2" s="3"/>
      <c r="XFD2" s="3"/>
    </row>
    <row r="3" customFormat="false" ht="27" hidden="false" customHeight="true" outlineLevel="0" collapsed="false">
      <c r="A3" s="23" t="s">
        <v>99</v>
      </c>
      <c r="B3" s="23" t="s">
        <v>183</v>
      </c>
      <c r="C3" s="23" t="s">
        <v>184</v>
      </c>
      <c r="D3" s="23" t="s">
        <v>132</v>
      </c>
      <c r="E3" s="23" t="s">
        <v>185</v>
      </c>
      <c r="F3" s="23" t="s">
        <v>186</v>
      </c>
      <c r="G3" s="23" t="b">
        <f aca="false">TRUE()</f>
        <v>1</v>
      </c>
      <c r="H3" s="23" t="s">
        <v>187</v>
      </c>
      <c r="I3" s="23" t="n">
        <v>0.5</v>
      </c>
      <c r="J3" s="23" t="n">
        <v>2</v>
      </c>
      <c r="K3" s="23" t="n">
        <v>5</v>
      </c>
    </row>
    <row r="4" customFormat="false" ht="27" hidden="false" customHeight="true" outlineLevel="0" collapsed="false">
      <c r="A4" s="23" t="s">
        <v>110</v>
      </c>
      <c r="B4" s="23" t="s">
        <v>188</v>
      </c>
      <c r="C4" s="23" t="s">
        <v>184</v>
      </c>
      <c r="D4" s="23" t="s">
        <v>189</v>
      </c>
      <c r="E4" s="23" t="s">
        <v>185</v>
      </c>
      <c r="F4" s="23" t="s">
        <v>186</v>
      </c>
      <c r="G4" s="23" t="b">
        <f aca="false">TRUE()</f>
        <v>1</v>
      </c>
      <c r="H4" s="23" t="s">
        <v>187</v>
      </c>
      <c r="I4" s="23" t="n">
        <v>0.5</v>
      </c>
      <c r="J4" s="23" t="n">
        <v>2</v>
      </c>
      <c r="K4" s="23" t="n">
        <v>5</v>
      </c>
    </row>
    <row r="5" s="3" customFormat="true" ht="27" hidden="false" customHeight="true" outlineLevel="0" collapsed="false">
      <c r="A5" s="23" t="s">
        <v>105</v>
      </c>
      <c r="B5" s="23" t="s">
        <v>190</v>
      </c>
      <c r="C5" s="23" t="s">
        <v>184</v>
      </c>
      <c r="D5" s="23" t="s">
        <v>191</v>
      </c>
      <c r="E5" s="23" t="s">
        <v>192</v>
      </c>
      <c r="F5" s="23" t="s">
        <v>186</v>
      </c>
      <c r="G5" s="23" t="b">
        <f aca="false">TRUE()</f>
        <v>1</v>
      </c>
      <c r="H5" s="23" t="s">
        <v>187</v>
      </c>
      <c r="I5" s="23" t="n">
        <v>0.2</v>
      </c>
      <c r="J5" s="23" t="n">
        <v>2</v>
      </c>
      <c r="K5" s="23" t="n">
        <v>5</v>
      </c>
    </row>
    <row r="6" customFormat="false" ht="27" hidden="false" customHeight="true" outlineLevel="0" collapsed="false">
      <c r="A6" s="23" t="s">
        <v>125</v>
      </c>
      <c r="B6" s="23" t="s">
        <v>193</v>
      </c>
      <c r="C6" s="23" t="s">
        <v>184</v>
      </c>
      <c r="D6" s="24" t="s">
        <v>194</v>
      </c>
      <c r="E6" s="23" t="s">
        <v>185</v>
      </c>
      <c r="F6" s="23" t="s">
        <v>186</v>
      </c>
      <c r="G6" s="23" t="b">
        <f aca="false">TRUE()</f>
        <v>1</v>
      </c>
      <c r="H6" s="23" t="s">
        <v>187</v>
      </c>
      <c r="I6" s="23" t="n">
        <v>0.8</v>
      </c>
      <c r="J6" s="23" t="n">
        <v>3</v>
      </c>
      <c r="K6" s="23" t="n">
        <v>6</v>
      </c>
    </row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2025-06-27T19:54:41Z</dcterms:modified>
  <cp:revision>616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